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Plan" sheetId="1" state="visible" r:id="rId1"/>
    <sheet name="Team Load" sheetId="2" state="visible" r:id="rId2"/>
    <sheet name="Gan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"/>
    <numFmt numFmtId="166" formatCode="d mmm"/>
    <numFmt numFmtId="167" formatCode=";;;"/>
  </numFmts>
  <fonts count="9">
    <font>
      <name val="Calibri"/>
      <family val="2"/>
      <color theme="1"/>
      <sz val="11"/>
      <scheme val="minor"/>
    </font>
    <font>
      <name val="Arial"/>
      <b val="1"/>
      <color rgb="000B1F3A"/>
      <sz val="14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</font>
    <font>
      <name val="Arial"/>
      <b val="1"/>
      <color rgb="000B1F3A"/>
      <sz val="13"/>
    </font>
    <font>
      <name val="Arial"/>
      <color rgb="00FFFFFF"/>
      <sz val="8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9" fontId="6" fillId="0" borderId="1" pivotButton="0" quotePrefix="0" xfId="0"/>
    <xf numFmtId="0" fontId="5" fillId="0" borderId="1" pivotButton="0" quotePrefix="0" xfId="0"/>
    <xf numFmtId="166" fontId="2" fillId="2" borderId="1" applyAlignment="1" pivotButton="0" quotePrefix="0" xfId="0">
      <alignment horizontal="center" wrapText="1"/>
    </xf>
    <xf numFmtId="167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53D"/>
        </patternFill>
      </fill>
    </dxf>
    <dxf>
      <fill>
        <patternFill patternType="solid">
          <fgColor rgb="000FB5A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2" customWidth="1" min="3" max="3"/>
    <col width="14" customWidth="1" min="4" max="4"/>
    <col width="14" customWidth="1" min="5" max="5"/>
    <col width="7" customWidth="1" min="6" max="6"/>
    <col width="8" customWidth="1" min="7" max="7"/>
    <col width="14" customWidth="1" min="8" max="8"/>
    <col width="12" customWidth="1" min="9" max="9"/>
    <col width="36" customWidth="1" min="10" max="10"/>
    <col width="13" customWidth="1" min="11" max="11"/>
  </cols>
  <sheetData>
    <row r="1">
      <c r="A1" s="1" t="inlineStr">
        <is>
          <t>FunnelStream Sprint Plan, 4-13 October 2026 (5 members)</t>
        </is>
      </c>
    </row>
    <row r="3">
      <c r="A3" s="2" t="inlineStr">
        <is>
          <t>ID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Days</t>
        </is>
      </c>
      <c r="G3" s="2" t="inlineStr">
        <is>
          <t>Hours</t>
        </is>
      </c>
      <c r="H3" s="2" t="inlineStr">
        <is>
          <t>Depends on</t>
        </is>
      </c>
      <c r="I3" s="2" t="inlineStr">
        <is>
          <t>Type</t>
        </is>
      </c>
      <c r="J3" s="2" t="inlineStr">
        <is>
          <t>Notes</t>
        </is>
      </c>
      <c r="K3" s="2" t="inlineStr">
        <is>
          <t>Status</t>
        </is>
      </c>
    </row>
    <row r="4">
      <c r="A4" s="3" t="inlineStr">
        <is>
          <t>T1</t>
        </is>
      </c>
      <c r="B4" s="4" t="inlineStr">
        <is>
          <t>Scaffold repo, Python env, Docker Compose stack</t>
        </is>
      </c>
      <c r="C4" s="3" t="inlineStr">
        <is>
          <t>Member 1</t>
        </is>
      </c>
      <c r="D4" s="5" t="n">
        <v>46299</v>
      </c>
      <c r="E4" s="5" t="n">
        <v>46299</v>
      </c>
      <c r="F4" s="3">
        <f>E4-D4+1</f>
        <v/>
      </c>
      <c r="G4" s="6" t="n">
        <v>6</v>
      </c>
      <c r="H4" s="3" t="inlineStr">
        <is>
          <t>-</t>
        </is>
      </c>
      <c r="I4" s="3" t="inlineStr">
        <is>
          <t>Build</t>
        </is>
      </c>
      <c r="J4" s="4" t="inlineStr">
        <is>
          <t>Compose memory limits</t>
        </is>
      </c>
      <c r="K4" s="6" t="inlineStr">
        <is>
          <t>Done</t>
        </is>
      </c>
    </row>
    <row r="5">
      <c r="A5" s="3" t="inlineStr">
        <is>
          <t>T1c</t>
        </is>
      </c>
      <c r="B5" s="4" t="inlineStr">
        <is>
          <t>Remove MinIO from stack; local Delta plus Databricks</t>
        </is>
      </c>
      <c r="C5" s="3" t="inlineStr">
        <is>
          <t>Member 1</t>
        </is>
      </c>
      <c r="D5" s="5" t="n">
        <v>46299</v>
      </c>
      <c r="E5" s="5" t="n">
        <v>46299</v>
      </c>
      <c r="F5" s="3">
        <f>E5-D5+1</f>
        <v/>
      </c>
      <c r="G5" s="6" t="n">
        <v>1</v>
      </c>
      <c r="H5" s="3" t="inlineStr">
        <is>
          <t>T1</t>
        </is>
      </c>
      <c r="I5" s="3" t="inlineStr">
        <is>
          <t>Build</t>
        </is>
      </c>
      <c r="J5" s="4" t="inlineStr">
        <is>
          <t>Amendment A</t>
        </is>
      </c>
      <c r="K5" s="6" t="inlineStr">
        <is>
          <t>Done</t>
        </is>
      </c>
    </row>
    <row r="6">
      <c r="A6" s="3" t="inlineStr">
        <is>
          <t>T1d</t>
        </is>
      </c>
      <c r="B6" s="4" t="inlineStr">
        <is>
          <t>Kafka host listeners, Airflow deps and mounts, env and requirements</t>
        </is>
      </c>
      <c r="C6" s="3" t="inlineStr">
        <is>
          <t>Member 1</t>
        </is>
      </c>
      <c r="D6" s="5" t="n">
        <v>46300</v>
      </c>
      <c r="E6" s="5" t="n">
        <v>46300</v>
      </c>
      <c r="F6" s="3">
        <f>E6-D6+1</f>
        <v/>
      </c>
      <c r="G6" s="6" t="n">
        <v>2</v>
      </c>
      <c r="H6" s="3" t="inlineStr">
        <is>
          <t>T1c</t>
        </is>
      </c>
      <c r="I6" s="3" t="inlineStr">
        <is>
          <t>Build</t>
        </is>
      </c>
      <c r="J6" s="4" t="inlineStr">
        <is>
          <t>Amendment B</t>
        </is>
      </c>
      <c r="K6" s="6" t="inlineStr">
        <is>
          <t>In progress</t>
        </is>
      </c>
    </row>
    <row r="7">
      <c r="A7" s="3" t="inlineStr">
        <is>
          <t>T0</t>
        </is>
      </c>
      <c r="B7" s="4" t="inlineStr">
        <is>
          <t>Databricks workspace, SQL warehouse, token, one test upload</t>
        </is>
      </c>
      <c r="C7" s="3" t="inlineStr">
        <is>
          <t>Member 4</t>
        </is>
      </c>
      <c r="D7" s="5" t="n">
        <v>46300</v>
      </c>
      <c r="E7" s="5" t="n">
        <v>46300</v>
      </c>
      <c r="F7" s="3">
        <f>E7-D7+1</f>
        <v/>
      </c>
      <c r="G7" s="6" t="n">
        <v>3</v>
      </c>
      <c r="H7" s="3" t="inlineStr">
        <is>
          <t>-</t>
        </is>
      </c>
      <c r="I7" s="3" t="inlineStr">
        <is>
          <t>Setup</t>
        </is>
      </c>
      <c r="J7" s="4" t="inlineStr">
        <is>
          <t>Human step. Token goes in .env only</t>
        </is>
      </c>
      <c r="K7" s="6" t="inlineStr">
        <is>
          <t>To do</t>
        </is>
      </c>
    </row>
    <row r="8">
      <c r="A8" s="3" t="inlineStr">
        <is>
          <t>T2</t>
        </is>
      </c>
      <c r="B8" s="4" t="inlineStr">
        <is>
          <t>Event contracts and validator</t>
        </is>
      </c>
      <c r="C8" s="3" t="inlineStr">
        <is>
          <t>Member 2</t>
        </is>
      </c>
      <c r="D8" s="5" t="n">
        <v>46299</v>
      </c>
      <c r="E8" s="5" t="n">
        <v>46299</v>
      </c>
      <c r="F8" s="3">
        <f>E8-D8+1</f>
        <v/>
      </c>
      <c r="G8" s="6" t="n">
        <v>4</v>
      </c>
      <c r="H8" s="3" t="inlineStr">
        <is>
          <t>-</t>
        </is>
      </c>
      <c r="I8" s="3" t="inlineStr">
        <is>
          <t>Build</t>
        </is>
      </c>
      <c r="J8" s="4" t="inlineStr">
        <is>
          <t>Hardened in T6b</t>
        </is>
      </c>
      <c r="K8" s="6" t="inlineStr">
        <is>
          <t>Done</t>
        </is>
      </c>
    </row>
    <row r="9">
      <c r="A9" s="3" t="inlineStr">
        <is>
          <t>T3</t>
        </is>
      </c>
      <c r="B9" s="4" t="inlineStr">
        <is>
          <t>Simulator: customer journeys (funnel, UTM)</t>
        </is>
      </c>
      <c r="C9" s="3" t="inlineStr">
        <is>
          <t>Member 1</t>
        </is>
      </c>
      <c r="D9" s="5" t="n">
        <v>46300</v>
      </c>
      <c r="E9" s="5" t="n">
        <v>46301</v>
      </c>
      <c r="F9" s="3">
        <f>E9-D9+1</f>
        <v/>
      </c>
      <c r="G9" s="6" t="n">
        <v>8</v>
      </c>
      <c r="H9" s="3" t="inlineStr">
        <is>
          <t>T1</t>
        </is>
      </c>
      <c r="I9" s="3" t="inlineStr">
        <is>
          <t>Build</t>
        </is>
      </c>
      <c r="J9" s="4" t="inlineStr">
        <is>
          <t>64-bit ids</t>
        </is>
      </c>
      <c r="K9" s="6" t="inlineStr">
        <is>
          <t>Done</t>
        </is>
      </c>
    </row>
    <row r="10">
      <c r="A10" s="3" t="inlineStr">
        <is>
          <t>T4</t>
        </is>
      </c>
      <c r="B10" s="4" t="inlineStr">
        <is>
          <t>Simulator: orders and delivery lifecycle</t>
        </is>
      </c>
      <c r="C10" s="3" t="inlineStr">
        <is>
          <t>Member 1</t>
        </is>
      </c>
      <c r="D10" s="5" t="n">
        <v>46301</v>
      </c>
      <c r="E10" s="5" t="n">
        <v>46302</v>
      </c>
      <c r="F10" s="3">
        <f>E10-D10+1</f>
        <v/>
      </c>
      <c r="G10" s="6" t="n">
        <v>8</v>
      </c>
      <c r="H10" s="3" t="inlineStr">
        <is>
          <t>T3</t>
        </is>
      </c>
      <c r="I10" s="3" t="inlineStr">
        <is>
          <t>Build</t>
        </is>
      </c>
      <c r="J10" s="4" t="inlineStr">
        <is>
          <t>Status rank</t>
        </is>
      </c>
      <c r="K10" s="6" t="inlineStr">
        <is>
          <t>Done</t>
        </is>
      </c>
    </row>
    <row r="11">
      <c r="A11" s="3" t="inlineStr">
        <is>
          <t>T5</t>
        </is>
      </c>
      <c r="B11" s="4" t="inlineStr">
        <is>
          <t>Mock ad API and campaign dataset</t>
        </is>
      </c>
      <c r="C11" s="3" t="inlineStr">
        <is>
          <t>Member 4</t>
        </is>
      </c>
      <c r="D11" s="5" t="n">
        <v>46300</v>
      </c>
      <c r="E11" s="5" t="n">
        <v>46300</v>
      </c>
      <c r="F11" s="3">
        <f>E11-D11+1</f>
        <v/>
      </c>
      <c r="G11" s="6" t="n">
        <v>4</v>
      </c>
      <c r="H11" s="3" t="inlineStr">
        <is>
          <t>T1</t>
        </is>
      </c>
      <c r="I11" s="3" t="inlineStr">
        <is>
          <t>Build</t>
        </is>
      </c>
      <c r="J11" s="4" t="inlineStr">
        <is>
          <t>400 handling, tz</t>
        </is>
      </c>
      <c r="K11" s="6" t="inlineStr">
        <is>
          <t>Done</t>
        </is>
      </c>
    </row>
    <row r="12">
      <c r="A12" s="3" t="inlineStr">
        <is>
          <t>T6</t>
        </is>
      </c>
      <c r="B12" s="4" t="inlineStr">
        <is>
          <t>Kafka topics, idempotent publisher, runner</t>
        </is>
      </c>
      <c r="C12" s="3" t="inlineStr">
        <is>
          <t>Member 2</t>
        </is>
      </c>
      <c r="D12" s="5" t="n">
        <v>46300</v>
      </c>
      <c r="E12" s="5" t="n">
        <v>46301</v>
      </c>
      <c r="F12" s="3">
        <f>E12-D12+1</f>
        <v/>
      </c>
      <c r="G12" s="6" t="n">
        <v>6</v>
      </c>
      <c r="H12" s="3" t="inlineStr">
        <is>
          <t>T2, T4</t>
        </is>
      </c>
      <c r="I12" s="3" t="inlineStr">
        <is>
          <t>Build</t>
        </is>
      </c>
      <c r="J12" s="4" t="inlineStr">
        <is>
          <t>History and live modes</t>
        </is>
      </c>
      <c r="K12" s="6" t="inlineStr">
        <is>
          <t>Done</t>
        </is>
      </c>
    </row>
    <row r="13">
      <c r="A13" s="3" t="inlineStr">
        <is>
          <t>T6b</t>
        </is>
      </c>
      <c r="B13" s="4" t="inlineStr">
        <is>
          <t>Noise injection and handling primitives</t>
        </is>
      </c>
      <c r="C13" s="3" t="inlineStr">
        <is>
          <t>Member 5</t>
        </is>
      </c>
      <c r="D13" s="5" t="n">
        <v>46301</v>
      </c>
      <c r="E13" s="5" t="n">
        <v>46302</v>
      </c>
      <c r="F13" s="3">
        <f>E13-D13+1</f>
        <v/>
      </c>
      <c r="G13" s="6" t="n">
        <v>12</v>
      </c>
      <c r="H13" s="3" t="inlineStr">
        <is>
          <t>T6</t>
        </is>
      </c>
      <c r="I13" s="3" t="inlineStr">
        <is>
          <t>Build</t>
        </is>
      </c>
      <c r="J13" s="4" t="inlineStr">
        <is>
          <t>16 noise types, manifest</t>
        </is>
      </c>
      <c r="K13" s="6" t="inlineStr">
        <is>
          <t>Done</t>
        </is>
      </c>
    </row>
    <row r="14">
      <c r="A14" s="3" t="inlineStr">
        <is>
          <t>T7</t>
        </is>
      </c>
      <c r="B14" s="4" t="inlineStr">
        <is>
          <t>Spark session and Bronze ingest (3 tables, local Delta)</t>
        </is>
      </c>
      <c r="C14" s="3" t="inlineStr">
        <is>
          <t>Member 2</t>
        </is>
      </c>
      <c r="D14" s="5" t="n">
        <v>46302</v>
      </c>
      <c r="E14" s="5" t="n">
        <v>46302</v>
      </c>
      <c r="F14" s="3">
        <f>E14-D14+1</f>
        <v/>
      </c>
      <c r="G14" s="6" t="n">
        <v>6</v>
      </c>
      <c r="H14" s="3" t="inlineStr">
        <is>
          <t>T6, T1d</t>
        </is>
      </c>
      <c r="I14" s="3" t="inlineStr">
        <is>
          <t>Build</t>
        </is>
      </c>
      <c r="J14" s="4" t="inlineStr">
        <is>
          <t>Needs Python 3.11, Java 17, winutils</t>
        </is>
      </c>
      <c r="K14" s="6" t="inlineStr">
        <is>
          <t>To do</t>
        </is>
      </c>
    </row>
    <row r="15">
      <c r="A15" s="3" t="inlineStr">
        <is>
          <t>T8</t>
        </is>
      </c>
      <c r="B15" s="4" t="inlineStr">
        <is>
          <t>Silver: validate, dedup, flatten, quarantine, orders table</t>
        </is>
      </c>
      <c r="C15" s="3" t="inlineStr">
        <is>
          <t>Member 2</t>
        </is>
      </c>
      <c r="D15" s="5" t="n">
        <v>46303</v>
      </c>
      <c r="E15" s="5" t="n">
        <v>46304</v>
      </c>
      <c r="F15" s="3">
        <f>E15-D15+1</f>
        <v/>
      </c>
      <c r="G15" s="6" t="n">
        <v>12</v>
      </c>
      <c r="H15" s="3" t="inlineStr">
        <is>
          <t>T7, T6b</t>
        </is>
      </c>
      <c r="I15" s="3" t="inlineStr">
        <is>
          <t>Build</t>
        </is>
      </c>
      <c r="J15" s="4" t="inlineStr">
        <is>
          <t>Highest-risk Spark task</t>
        </is>
      </c>
      <c r="K15" s="6" t="inlineStr">
        <is>
          <t>To do</t>
        </is>
      </c>
    </row>
    <row r="16">
      <c r="A16" s="3" t="inlineStr">
        <is>
          <t>T9</t>
        </is>
      </c>
      <c r="B16" s="4" t="inlineStr">
        <is>
          <t>Gold builders (Spark reference) and local live metrics</t>
        </is>
      </c>
      <c r="C16" s="3" t="inlineStr">
        <is>
          <t>Member 3</t>
        </is>
      </c>
      <c r="D16" s="5" t="n">
        <v>46304</v>
      </c>
      <c r="E16" s="5" t="n">
        <v>46305</v>
      </c>
      <c r="F16" s="3">
        <f>E16-D16+1</f>
        <v/>
      </c>
      <c r="G16" s="6" t="n">
        <v>8</v>
      </c>
      <c r="H16" s="3" t="inlineStr">
        <is>
          <t>T8</t>
        </is>
      </c>
      <c r="I16" s="3" t="inlineStr">
        <is>
          <t>Build</t>
        </is>
      </c>
      <c r="J16" s="4" t="inlineStr">
        <is>
          <t>Production Gold is T10c SQL</t>
        </is>
      </c>
      <c r="K16" s="6" t="inlineStr">
        <is>
          <t>To do</t>
        </is>
      </c>
    </row>
    <row r="17">
      <c r="A17" s="3" t="inlineStr">
        <is>
          <t>T10</t>
        </is>
      </c>
      <c r="B17" s="4" t="inlineStr">
        <is>
          <t>Postgres fallback DDL, Databricks DDL, loader</t>
        </is>
      </c>
      <c r="C17" s="3" t="inlineStr">
        <is>
          <t>Member 3</t>
        </is>
      </c>
      <c r="D17" s="5" t="n">
        <v>46300</v>
      </c>
      <c r="E17" s="5" t="n">
        <v>46300</v>
      </c>
      <c r="F17" s="3">
        <f>E17-D17+1</f>
        <v/>
      </c>
      <c r="G17" s="6" t="n">
        <v>6</v>
      </c>
      <c r="H17" s="3" t="inlineStr">
        <is>
          <t>T1</t>
        </is>
      </c>
      <c r="I17" s="3" t="inlineStr">
        <is>
          <t>Build</t>
        </is>
      </c>
      <c r="J17" s="4" t="inlineStr">
        <is>
          <t>Delta types differ</t>
        </is>
      </c>
      <c r="K17" s="6" t="inlineStr">
        <is>
          <t>To do</t>
        </is>
      </c>
    </row>
    <row r="18">
      <c r="A18" s="3" t="inlineStr">
        <is>
          <t>T10b</t>
        </is>
      </c>
      <c r="B18" s="4" t="inlineStr">
        <is>
          <t>GoldStore interface, Databricks backend, publish_silver</t>
        </is>
      </c>
      <c r="C18" s="3" t="inlineStr">
        <is>
          <t>Member 3</t>
        </is>
      </c>
      <c r="D18" s="5" t="n">
        <v>46301</v>
      </c>
      <c r="E18" s="5" t="n">
        <v>46301</v>
      </c>
      <c r="F18" s="3">
        <f>E18-D18+1</f>
        <v/>
      </c>
      <c r="G18" s="6" t="n">
        <v>8</v>
      </c>
      <c r="H18" s="3" t="inlineStr">
        <is>
          <t>T10, T0</t>
        </is>
      </c>
      <c r="I18" s="3" t="inlineStr">
        <is>
          <t>Build</t>
        </is>
      </c>
      <c r="J18" s="4" t="inlineStr">
        <is>
          <t>Fake-connection tests</t>
        </is>
      </c>
      <c r="K18" s="6" t="inlineStr">
        <is>
          <t>To do</t>
        </is>
      </c>
    </row>
    <row r="19">
      <c r="A19" s="3" t="inlineStr">
        <is>
          <t>T10c</t>
        </is>
      </c>
      <c r="B19" s="4" t="inlineStr">
        <is>
          <t>Gold build: MERGE SQL, dims, campaign and date loads</t>
        </is>
      </c>
      <c r="C19" s="3" t="inlineStr">
        <is>
          <t>Member 3</t>
        </is>
      </c>
      <c r="D19" s="5" t="n">
        <v>46305</v>
      </c>
      <c r="E19" s="5" t="n">
        <v>46306</v>
      </c>
      <c r="F19" s="3">
        <f>E19-D19+1</f>
        <v/>
      </c>
      <c r="G19" s="6" t="n">
        <v>12</v>
      </c>
      <c r="H19" s="3" t="inlineStr">
        <is>
          <t>T10b, T8</t>
        </is>
      </c>
      <c r="I19" s="3" t="inlineStr">
        <is>
          <t>Build</t>
        </is>
      </c>
      <c r="J19" s="4" t="inlineStr">
        <is>
          <t>Single Gold writer</t>
        </is>
      </c>
      <c r="K19" s="6" t="inlineStr">
        <is>
          <t>To do</t>
        </is>
      </c>
    </row>
    <row r="20">
      <c r="A20" s="3" t="inlineStr">
        <is>
          <t>T11</t>
        </is>
      </c>
      <c r="B20" s="4" t="inlineStr">
        <is>
          <t>SCD2 dimensions (customer, product)</t>
        </is>
      </c>
      <c r="C20" s="3" t="inlineStr">
        <is>
          <t>Member 4</t>
        </is>
      </c>
      <c r="D20" s="5" t="n">
        <v>46301</v>
      </c>
      <c r="E20" s="5" t="n">
        <v>46301</v>
      </c>
      <c r="F20" s="3">
        <f>E20-D20+1</f>
        <v/>
      </c>
      <c r="G20" s="6" t="n">
        <v>5</v>
      </c>
      <c r="H20" s="3" t="inlineStr">
        <is>
          <t>T3, T10b</t>
        </is>
      </c>
      <c r="I20" s="3" t="inlineStr">
        <is>
          <t>Build</t>
        </is>
      </c>
      <c r="J20" s="4" t="inlineStr">
        <is>
          <t>valid_to 9999-12-31</t>
        </is>
      </c>
      <c r="K20" s="6" t="inlineStr">
        <is>
          <t>To do</t>
        </is>
      </c>
    </row>
    <row r="21">
      <c r="A21" s="3" t="inlineStr">
        <is>
          <t>T12</t>
        </is>
      </c>
      <c r="B21" s="4" t="inlineStr">
        <is>
          <t>Campaign snapshots and fact_campaign_daily</t>
        </is>
      </c>
      <c r="C21" s="3" t="inlineStr">
        <is>
          <t>Member 4</t>
        </is>
      </c>
      <c r="D21" s="5" t="n">
        <v>46302</v>
      </c>
      <c r="E21" s="5" t="n">
        <v>46302</v>
      </c>
      <c r="F21" s="3">
        <f>E21-D21+1</f>
        <v/>
      </c>
      <c r="G21" s="6" t="n">
        <v>6</v>
      </c>
      <c r="H21" s="3" t="inlineStr">
        <is>
          <t>T5</t>
        </is>
      </c>
      <c r="I21" s="3" t="inlineStr">
        <is>
          <t>Build</t>
        </is>
      </c>
      <c r="J21" s="4" t="inlineStr">
        <is>
          <t>503 retry, quarantine rules</t>
        </is>
      </c>
      <c r="K21" s="6" t="inlineStr">
        <is>
          <t>To do</t>
        </is>
      </c>
    </row>
    <row r="22">
      <c r="A22" s="3" t="inlineStr">
        <is>
          <t>T13</t>
        </is>
      </c>
      <c r="B22" s="4" t="inlineStr">
        <is>
          <t>Attribution (last touch, first touch)</t>
        </is>
      </c>
      <c r="C22" s="3" t="inlineStr">
        <is>
          <t>Member 4</t>
        </is>
      </c>
      <c r="D22" s="5" t="n">
        <v>46306</v>
      </c>
      <c r="E22" s="5" t="n">
        <v>46306</v>
      </c>
      <c r="F22" s="3">
        <f>E22-D22+1</f>
        <v/>
      </c>
      <c r="G22" s="6" t="n">
        <v>4</v>
      </c>
      <c r="H22" s="3" t="inlineStr">
        <is>
          <t>T9</t>
        </is>
      </c>
      <c r="I22" s="3" t="inlineStr">
        <is>
          <t>Build</t>
        </is>
      </c>
      <c r="J22" s="4" t="inlineStr"/>
      <c r="K22" s="6" t="inlineStr">
        <is>
          <t>To do</t>
        </is>
      </c>
    </row>
    <row r="23">
      <c r="A23" s="3" t="inlineStr">
        <is>
          <t>T14</t>
        </is>
      </c>
      <c r="B23" s="4" t="inlineStr">
        <is>
          <t>Recommendations and city-product table</t>
        </is>
      </c>
      <c r="C23" s="3" t="inlineStr">
        <is>
          <t>Member 4</t>
        </is>
      </c>
      <c r="D23" s="5" t="n">
        <v>46303</v>
      </c>
      <c r="E23" s="5" t="n">
        <v>46304</v>
      </c>
      <c r="F23" s="3">
        <f>E23-D23+1</f>
        <v/>
      </c>
      <c r="G23" s="6" t="n">
        <v>6</v>
      </c>
      <c r="H23" s="3" t="inlineStr">
        <is>
          <t>T8</t>
        </is>
      </c>
      <c r="I23" s="3" t="inlineStr">
        <is>
          <t>Build</t>
        </is>
      </c>
      <c r="J23" s="4" t="inlineStr">
        <is>
          <t>Distinct sessions</t>
        </is>
      </c>
      <c r="K23" s="6" t="inlineStr">
        <is>
          <t>To do</t>
        </is>
      </c>
    </row>
    <row r="24">
      <c r="A24" s="3" t="inlineStr">
        <is>
          <t>T15</t>
        </is>
      </c>
      <c r="B24" s="4" t="inlineStr">
        <is>
          <t>Batch runner and Airflow DAG (Python fallback)</t>
        </is>
      </c>
      <c r="C24" s="3" t="inlineStr">
        <is>
          <t>Member 4</t>
        </is>
      </c>
      <c r="D24" s="5" t="n">
        <v>46305</v>
      </c>
      <c r="E24" s="5" t="n">
        <v>46306</v>
      </c>
      <c r="F24" s="3">
        <f>E24-D24+1</f>
        <v/>
      </c>
      <c r="G24" s="6" t="n">
        <v>8</v>
      </c>
      <c r="H24" s="3" t="inlineStr">
        <is>
          <t>T10c-T14</t>
        </is>
      </c>
      <c r="I24" s="3" t="inlineStr">
        <is>
          <t>Build</t>
        </is>
      </c>
      <c r="J24" s="4" t="inlineStr">
        <is>
          <t>Takes a store, no psycopg</t>
        </is>
      </c>
      <c r="K24" s="6" t="inlineStr">
        <is>
          <t>To do</t>
        </is>
      </c>
    </row>
    <row r="25">
      <c r="A25" s="3" t="inlineStr">
        <is>
          <t>T16</t>
        </is>
      </c>
      <c r="B25" s="4" t="inlineStr">
        <is>
          <t>SQL checks incl. noise manifest check</t>
        </is>
      </c>
      <c r="C25" s="3" t="inlineStr">
        <is>
          <t>Member 5</t>
        </is>
      </c>
      <c r="D25" s="5" t="n">
        <v>46307</v>
      </c>
      <c r="E25" s="5" t="n">
        <v>46307</v>
      </c>
      <c r="F25" s="3">
        <f>E25-D25+1</f>
        <v/>
      </c>
      <c r="G25" s="6" t="n">
        <v>6</v>
      </c>
      <c r="H25" s="3" t="inlineStr">
        <is>
          <t>T10c, T13</t>
        </is>
      </c>
      <c r="I25" s="3" t="inlineStr">
        <is>
          <t>Build</t>
        </is>
      </c>
      <c r="J25" s="4" t="inlineStr">
        <is>
          <t>Python check type</t>
        </is>
      </c>
      <c r="K25" s="6" t="inlineStr">
        <is>
          <t>To do</t>
        </is>
      </c>
    </row>
    <row r="26">
      <c r="A26" s="3" t="inlineStr">
        <is>
          <t>T17</t>
        </is>
      </c>
      <c r="B26" s="4" t="inlineStr">
        <is>
          <t>Samples, benchmark, failure demo, README</t>
        </is>
      </c>
      <c r="C26" s="3" t="inlineStr">
        <is>
          <t>Member 5</t>
        </is>
      </c>
      <c r="D26" s="5" t="n">
        <v>46307</v>
      </c>
      <c r="E26" s="5" t="n">
        <v>46307</v>
      </c>
      <c r="F26" s="3">
        <f>E26-D26+1</f>
        <v/>
      </c>
      <c r="G26" s="6" t="n">
        <v>6</v>
      </c>
      <c r="H26" s="3" t="inlineStr">
        <is>
          <t>T8, T10c</t>
        </is>
      </c>
      <c r="I26" s="3" t="inlineStr">
        <is>
          <t>Build</t>
        </is>
      </c>
      <c r="J26" s="4" t="inlineStr">
        <is>
          <t>Demo reads local Silver</t>
        </is>
      </c>
      <c r="K26" s="6" t="inlineStr">
        <is>
          <t>To do</t>
        </is>
      </c>
    </row>
    <row r="27">
      <c r="A27" s="3" t="inlineStr">
        <is>
          <t>T18</t>
        </is>
      </c>
      <c r="B27" s="4" t="inlineStr">
        <is>
          <t>Power BI model and five pages (Databricks connector)</t>
        </is>
      </c>
      <c r="C27" s="3" t="inlineStr">
        <is>
          <t>Member 5</t>
        </is>
      </c>
      <c r="D27" s="5" t="n">
        <v>46305</v>
      </c>
      <c r="E27" s="5" t="n">
        <v>46306</v>
      </c>
      <c r="F27" s="3">
        <f>E27-D27+1</f>
        <v/>
      </c>
      <c r="G27" s="6" t="n">
        <v>10</v>
      </c>
      <c r="H27" s="3" t="inlineStr">
        <is>
          <t>T10c</t>
        </is>
      </c>
      <c r="I27" s="3" t="inlineStr">
        <is>
          <t>Build</t>
        </is>
      </c>
      <c r="J27" s="4" t="inlineStr">
        <is>
          <t>Read-only token</t>
        </is>
      </c>
      <c r="K27" s="6" t="inlineStr">
        <is>
          <t>To do</t>
        </is>
      </c>
    </row>
    <row r="28">
      <c r="A28" s="3" t="inlineStr">
        <is>
          <t>T19</t>
        </is>
      </c>
      <c r="B28" s="4" t="inlineStr">
        <is>
          <t>Customer 360 table and page (STRETCH)</t>
        </is>
      </c>
      <c r="C28" s="3" t="inlineStr">
        <is>
          <t>Member 4</t>
        </is>
      </c>
      <c r="D28" s="5" t="n">
        <v>46307</v>
      </c>
      <c r="E28" s="5" t="n">
        <v>46307</v>
      </c>
      <c r="F28" s="3">
        <f>E28-D28+1</f>
        <v/>
      </c>
      <c r="G28" s="6" t="n">
        <v>4</v>
      </c>
      <c r="H28" s="3" t="inlineStr">
        <is>
          <t>T13</t>
        </is>
      </c>
      <c r="I28" s="3" t="inlineStr">
        <is>
          <t>Stretch</t>
        </is>
      </c>
      <c r="J28" s="4" t="inlineStr">
        <is>
          <t>Cut first if late</t>
        </is>
      </c>
      <c r="K28" s="6" t="inlineStr">
        <is>
          <t>To do</t>
        </is>
      </c>
    </row>
    <row r="29">
      <c r="A29" s="3" t="inlineStr">
        <is>
          <t>M1</t>
        </is>
      </c>
      <c r="B29" s="4" t="inlineStr">
        <is>
          <t>Integration: Kafka to Silver to Databricks Gold end to end</t>
        </is>
      </c>
      <c r="C29" s="3" t="inlineStr">
        <is>
          <t>All</t>
        </is>
      </c>
      <c r="D29" s="5" t="n">
        <v>46305</v>
      </c>
      <c r="E29" s="5" t="n">
        <v>46305</v>
      </c>
      <c r="F29" s="3">
        <f>E29-D29+1</f>
        <v/>
      </c>
      <c r="G29" s="6" t="n">
        <v>0</v>
      </c>
      <c r="H29" s="3" t="inlineStr">
        <is>
          <t>T10c</t>
        </is>
      </c>
      <c r="I29" s="3" t="inlineStr">
        <is>
          <t>Integration</t>
        </is>
      </c>
      <c r="J29" s="4" t="inlineStr">
        <is>
          <t>Team session</t>
        </is>
      </c>
      <c r="K29" s="6" t="inlineStr">
        <is>
          <t>To do</t>
        </is>
      </c>
    </row>
    <row r="30">
      <c r="A30" s="3" t="inlineStr">
        <is>
          <t>M2</t>
        </is>
      </c>
      <c r="B30" s="4" t="inlineStr">
        <is>
          <t>Failure demo, 1-2M run, benchmark recorded</t>
        </is>
      </c>
      <c r="C30" s="3" t="inlineStr">
        <is>
          <t>All</t>
        </is>
      </c>
      <c r="D30" s="5" t="n">
        <v>46307</v>
      </c>
      <c r="E30" s="5" t="n">
        <v>46307</v>
      </c>
      <c r="F30" s="3">
        <f>E30-D30+1</f>
        <v/>
      </c>
      <c r="G30" s="6" t="n">
        <v>0</v>
      </c>
      <c r="H30" s="3" t="inlineStr">
        <is>
          <t>T16, T17</t>
        </is>
      </c>
      <c r="I30" s="3" t="inlineStr">
        <is>
          <t>Integration</t>
        </is>
      </c>
      <c r="J30" s="4" t="inlineStr">
        <is>
          <t>Team session</t>
        </is>
      </c>
      <c r="K30" s="6" t="inlineStr">
        <is>
          <t>To do</t>
        </is>
      </c>
    </row>
    <row r="31">
      <c r="A31" s="3" t="inlineStr">
        <is>
          <t>M3</t>
        </is>
      </c>
      <c r="B31" s="4" t="inlineStr">
        <is>
          <t>Rehearsal, final deck and PDF check</t>
        </is>
      </c>
      <c r="C31" s="3" t="inlineStr">
        <is>
          <t>All</t>
        </is>
      </c>
      <c r="D31" s="5" t="n">
        <v>46307</v>
      </c>
      <c r="E31" s="5" t="n">
        <v>46307</v>
      </c>
      <c r="F31" s="3">
        <f>E31-D31+1</f>
        <v/>
      </c>
      <c r="G31" s="6" t="n">
        <v>0</v>
      </c>
      <c r="H31" s="3" t="inlineStr">
        <is>
          <t>M2</t>
        </is>
      </c>
      <c r="I31" s="3" t="inlineStr">
        <is>
          <t>Milestone</t>
        </is>
      </c>
      <c r="J31" s="4" t="inlineStr">
        <is>
          <t>Share links from Share menu</t>
        </is>
      </c>
      <c r="K31" s="6" t="inlineStr">
        <is>
          <t>To do</t>
        </is>
      </c>
    </row>
    <row r="32">
      <c r="A32" s="3" t="inlineStr">
        <is>
          <t>M4</t>
        </is>
      </c>
      <c r="B32" s="4" t="inlineStr">
        <is>
          <t>Defense</t>
        </is>
      </c>
      <c r="C32" s="3" t="inlineStr">
        <is>
          <t>All</t>
        </is>
      </c>
      <c r="D32" s="5" t="n">
        <v>46308</v>
      </c>
      <c r="E32" s="5" t="n">
        <v>46308</v>
      </c>
      <c r="F32" s="3">
        <f>E32-D32+1</f>
        <v/>
      </c>
      <c r="G32" s="6" t="n">
        <v>0</v>
      </c>
      <c r="H32" s="3" t="inlineStr">
        <is>
          <t>M3</t>
        </is>
      </c>
      <c r="I32" s="3" t="inlineStr">
        <is>
          <t>Milestone</t>
        </is>
      </c>
      <c r="J32" s="4" t="inlineStr"/>
      <c r="K32" s="6" t="inlineStr">
        <is>
          <t>To do</t>
        </is>
      </c>
    </row>
    <row r="34">
      <c r="A34" s="7" t="inlineStr">
        <is>
          <t>Assumptions</t>
        </is>
      </c>
    </row>
    <row r="35">
      <c r="A35" s="8" t="inlineStr">
        <is>
          <t>1.</t>
        </is>
      </c>
      <c r="B35" s="8" t="inlineStr">
        <is>
          <t>Productive hours per member per day: 6 (blue input on Team Load sheet).</t>
        </is>
      </c>
    </row>
    <row r="36">
      <c r="A36" s="8" t="inlineStr">
        <is>
          <t>2.</t>
        </is>
      </c>
      <c r="B36" s="8" t="inlineStr">
        <is>
          <t>Hours are focused build time, not calendar time. Integration and milestone rows (owner All) carry no hours and are excluded from Team Load.</t>
        </is>
      </c>
    </row>
    <row r="37">
      <c r="A37" s="8" t="inlineStr">
        <is>
          <t>3.</t>
        </is>
      </c>
      <c r="B37" s="8" t="inlineStr">
        <is>
          <t>Blue text = inputs you can change. Black = formulas.</t>
        </is>
      </c>
    </row>
    <row r="38">
      <c r="A38" s="8" t="inlineStr">
        <is>
          <t>4.</t>
        </is>
      </c>
      <c r="B38" s="8" t="inlineStr">
        <is>
          <t>T19 is stretch: drop it first if the schedule slips. Cut order after that: T16 extras, T18 pages 5 to 6.</t>
        </is>
      </c>
    </row>
    <row r="39">
      <c r="A39" s="8" t="inlineStr">
        <is>
          <t>5.</t>
        </is>
      </c>
      <c r="B39" s="8" t="inlineStr">
        <is>
          <t>Python 3.11 and Java 17 are installed. Status column is an input (blue): Done, In progress, To do.</t>
        </is>
      </c>
    </row>
    <row r="40">
      <c r="A40" s="8" t="inlineStr">
        <is>
          <t>6.</t>
        </is>
      </c>
      <c r="B40" s="8" t="inlineStr">
        <is>
          <t>T0 is a human step: create the Databricks workspace, SQL warehouse and token. Keep the token in .env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7" customWidth="1" min="4" max="4"/>
    <col width="10" customWidth="1" min="5" max="5"/>
    <col width="15" customWidth="1" min="6" max="6"/>
    <col width="28" customWidth="1" min="8" max="8"/>
    <col width="8" customWidth="1" min="9" max="9"/>
  </cols>
  <sheetData>
    <row r="1">
      <c r="A1" s="9" t="inlineStr">
        <is>
          <t>Team load per member</t>
        </is>
      </c>
    </row>
    <row r="2">
      <c r="H2" s="8" t="inlineStr">
        <is>
          <t>Productive hours per day</t>
        </is>
      </c>
      <c r="I2" s="10" t="n">
        <v>6</v>
      </c>
    </row>
    <row r="3">
      <c r="A3" s="11" t="inlineStr">
        <is>
          <t>Member</t>
        </is>
      </c>
      <c r="B3" s="11" t="inlineStr">
        <is>
          <t>Tasks</t>
        </is>
      </c>
      <c r="C3" s="11" t="inlineStr">
        <is>
          <t>Hours assigned</t>
        </is>
      </c>
      <c r="D3" s="11" t="inlineStr">
        <is>
          <t>Capacity (hours)</t>
        </is>
      </c>
      <c r="E3" s="11" t="inlineStr">
        <is>
          <t>Load %</t>
        </is>
      </c>
      <c r="F3" s="11" t="inlineStr">
        <is>
          <t>Status</t>
        </is>
      </c>
      <c r="H3" s="8" t="inlineStr">
        <is>
          <t>Working days (4-12 Oct)</t>
        </is>
      </c>
      <c r="I3" s="10" t="n">
        <v>9</v>
      </c>
    </row>
    <row r="4">
      <c r="A4" s="12" t="inlineStr">
        <is>
          <t>Member 1</t>
        </is>
      </c>
      <c r="B4" s="12">
        <f>COUNTIF('Sprint Plan'!$C$4:$C$32,A4)</f>
        <v/>
      </c>
      <c r="C4" s="12">
        <f>SUMIF('Sprint Plan'!$C$4:$C$32,A4,'Sprint Plan'!$G$4:$G$32)</f>
        <v/>
      </c>
      <c r="D4" s="12">
        <f>$I$2*$I$3</f>
        <v/>
      </c>
      <c r="E4" s="13">
        <f>C4/D4</f>
        <v/>
      </c>
      <c r="F4" s="12">
        <f>IF(E4&gt;1,"Over capacity",IF(E4&gt;0.8,"Tight","OK"))</f>
        <v/>
      </c>
    </row>
    <row r="5">
      <c r="A5" s="12" t="inlineStr">
        <is>
          <t>Member 2</t>
        </is>
      </c>
      <c r="B5" s="12">
        <f>COUNTIF('Sprint Plan'!$C$4:$C$32,A5)</f>
        <v/>
      </c>
      <c r="C5" s="12">
        <f>SUMIF('Sprint Plan'!$C$4:$C$32,A5,'Sprint Plan'!$G$4:$G$32)</f>
        <v/>
      </c>
      <c r="D5" s="12">
        <f>$I$2*$I$3</f>
        <v/>
      </c>
      <c r="E5" s="13">
        <f>C5/D5</f>
        <v/>
      </c>
      <c r="F5" s="12">
        <f>IF(E5&gt;1,"Over capacity",IF(E5&gt;0.8,"Tight","OK"))</f>
        <v/>
      </c>
    </row>
    <row r="6">
      <c r="A6" s="12" t="inlineStr">
        <is>
          <t>Member 3</t>
        </is>
      </c>
      <c r="B6" s="12">
        <f>COUNTIF('Sprint Plan'!$C$4:$C$32,A6)</f>
        <v/>
      </c>
      <c r="C6" s="12">
        <f>SUMIF('Sprint Plan'!$C$4:$C$32,A6,'Sprint Plan'!$G$4:$G$32)</f>
        <v/>
      </c>
      <c r="D6" s="12">
        <f>$I$2*$I$3</f>
        <v/>
      </c>
      <c r="E6" s="13">
        <f>C6/D6</f>
        <v/>
      </c>
      <c r="F6" s="12">
        <f>IF(E6&gt;1,"Over capacity",IF(E6&gt;0.8,"Tight","OK"))</f>
        <v/>
      </c>
    </row>
    <row r="7">
      <c r="A7" s="12" t="inlineStr">
        <is>
          <t>Member 4</t>
        </is>
      </c>
      <c r="B7" s="12">
        <f>COUNTIF('Sprint Plan'!$C$4:$C$32,A7)</f>
        <v/>
      </c>
      <c r="C7" s="12">
        <f>SUMIF('Sprint Plan'!$C$4:$C$32,A7,'Sprint Plan'!$G$4:$G$32)</f>
        <v/>
      </c>
      <c r="D7" s="12">
        <f>$I$2*$I$3</f>
        <v/>
      </c>
      <c r="E7" s="13">
        <f>C7/D7</f>
        <v/>
      </c>
      <c r="F7" s="12">
        <f>IF(E7&gt;1,"Over capacity",IF(E7&gt;0.8,"Tight","OK"))</f>
        <v/>
      </c>
    </row>
    <row r="8">
      <c r="A8" s="12" t="inlineStr">
        <is>
          <t>Member 5</t>
        </is>
      </c>
      <c r="B8" s="12">
        <f>COUNTIF('Sprint Plan'!$C$4:$C$32,A8)</f>
        <v/>
      </c>
      <c r="C8" s="12">
        <f>SUMIF('Sprint Plan'!$C$4:$C$32,A8,'Sprint Plan'!$G$4:$G$32)</f>
        <v/>
      </c>
      <c r="D8" s="12">
        <f>$I$2*$I$3</f>
        <v/>
      </c>
      <c r="E8" s="13">
        <f>C8/D8</f>
        <v/>
      </c>
      <c r="F8" s="12">
        <f>IF(E8&gt;1,"Over capacity",IF(E8&gt;0.8,"Tight","OK"))</f>
        <v/>
      </c>
    </row>
    <row r="9">
      <c r="A9" s="7" t="inlineStr">
        <is>
          <t>Team total</t>
        </is>
      </c>
      <c r="B9" s="14">
        <f>SUM(B4:B8)</f>
        <v/>
      </c>
      <c r="C9" s="14">
        <f>SUM(C4:C8)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9" t="inlineStr">
        <is>
          <t>Timeline: coloured cells show each task's days (yellow = milestones)</t>
        </is>
      </c>
    </row>
    <row r="3">
      <c r="A3" s="11" t="inlineStr">
        <is>
          <t>ID</t>
        </is>
      </c>
      <c r="B3" s="11" t="inlineStr">
        <is>
          <t>Task</t>
        </is>
      </c>
      <c r="C3" s="11" t="inlineStr">
        <is>
          <t>Owner</t>
        </is>
      </c>
      <c r="D3" s="15" t="n">
        <v>46299</v>
      </c>
      <c r="E3" s="15" t="n">
        <v>46300</v>
      </c>
      <c r="F3" s="15" t="n">
        <v>46301</v>
      </c>
      <c r="G3" s="15" t="n">
        <v>46302</v>
      </c>
      <c r="H3" s="15" t="n">
        <v>46303</v>
      </c>
      <c r="I3" s="15" t="n">
        <v>46304</v>
      </c>
      <c r="J3" s="15" t="n">
        <v>46305</v>
      </c>
      <c r="K3" s="15" t="n">
        <v>46306</v>
      </c>
      <c r="L3" s="15" t="n">
        <v>46307</v>
      </c>
      <c r="M3" s="15" t="n">
        <v>46308</v>
      </c>
    </row>
    <row r="4">
      <c r="A4" s="8">
        <f>'Sprint Plan'!A4</f>
        <v/>
      </c>
      <c r="B4" s="8">
        <f>'Sprint Plan'!B4</f>
        <v/>
      </c>
      <c r="C4" s="8">
        <f>'Sprint Plan'!C4</f>
        <v/>
      </c>
      <c r="D4" s="16">
        <f>IF(AND(D$3&gt;='Sprint Plan'!$D4,D$3&lt;='Sprint Plan'!$E4),1,"")</f>
        <v/>
      </c>
      <c r="E4" s="16">
        <f>IF(AND(E$3&gt;='Sprint Plan'!$D4,E$3&lt;='Sprint Plan'!$E4),1,"")</f>
        <v/>
      </c>
      <c r="F4" s="16">
        <f>IF(AND(F$3&gt;='Sprint Plan'!$D4,F$3&lt;='Sprint Plan'!$E4),1,"")</f>
        <v/>
      </c>
      <c r="G4" s="16">
        <f>IF(AND(G$3&gt;='Sprint Plan'!$D4,G$3&lt;='Sprint Plan'!$E4),1,"")</f>
        <v/>
      </c>
      <c r="H4" s="16">
        <f>IF(AND(H$3&gt;='Sprint Plan'!$D4,H$3&lt;='Sprint Plan'!$E4),1,"")</f>
        <v/>
      </c>
      <c r="I4" s="16">
        <f>IF(AND(I$3&gt;='Sprint Plan'!$D4,I$3&lt;='Sprint Plan'!$E4),1,"")</f>
        <v/>
      </c>
      <c r="J4" s="16">
        <f>IF(AND(J$3&gt;='Sprint Plan'!$D4,J$3&lt;='Sprint Plan'!$E4),1,"")</f>
        <v/>
      </c>
      <c r="K4" s="16">
        <f>IF(AND(K$3&gt;='Sprint Plan'!$D4,K$3&lt;='Sprint Plan'!$E4),1,"")</f>
        <v/>
      </c>
      <c r="L4" s="16">
        <f>IF(AND(L$3&gt;='Sprint Plan'!$D4,L$3&lt;='Sprint Plan'!$E4),1,"")</f>
        <v/>
      </c>
      <c r="M4" s="16">
        <f>IF(AND(M$3&gt;='Sprint Plan'!$D4,M$3&lt;='Sprint Plan'!$E4),1,"")</f>
        <v/>
      </c>
    </row>
    <row r="5">
      <c r="A5" s="8">
        <f>'Sprint Plan'!A5</f>
        <v/>
      </c>
      <c r="B5" s="8">
        <f>'Sprint Plan'!B5</f>
        <v/>
      </c>
      <c r="C5" s="8">
        <f>'Sprint Plan'!C5</f>
        <v/>
      </c>
      <c r="D5" s="16">
        <f>IF(AND(D$3&gt;='Sprint Plan'!$D5,D$3&lt;='Sprint Plan'!$E5),1,"")</f>
        <v/>
      </c>
      <c r="E5" s="16">
        <f>IF(AND(E$3&gt;='Sprint Plan'!$D5,E$3&lt;='Sprint Plan'!$E5),1,"")</f>
        <v/>
      </c>
      <c r="F5" s="16">
        <f>IF(AND(F$3&gt;='Sprint Plan'!$D5,F$3&lt;='Sprint Plan'!$E5),1,"")</f>
        <v/>
      </c>
      <c r="G5" s="16">
        <f>IF(AND(G$3&gt;='Sprint Plan'!$D5,G$3&lt;='Sprint Plan'!$E5),1,"")</f>
        <v/>
      </c>
      <c r="H5" s="16">
        <f>IF(AND(H$3&gt;='Sprint Plan'!$D5,H$3&lt;='Sprint Plan'!$E5),1,"")</f>
        <v/>
      </c>
      <c r="I5" s="16">
        <f>IF(AND(I$3&gt;='Sprint Plan'!$D5,I$3&lt;='Sprint Plan'!$E5),1,"")</f>
        <v/>
      </c>
      <c r="J5" s="16">
        <f>IF(AND(J$3&gt;='Sprint Plan'!$D5,J$3&lt;='Sprint Plan'!$E5),1,"")</f>
        <v/>
      </c>
      <c r="K5" s="16">
        <f>IF(AND(K$3&gt;='Sprint Plan'!$D5,K$3&lt;='Sprint Plan'!$E5),1,"")</f>
        <v/>
      </c>
      <c r="L5" s="16">
        <f>IF(AND(L$3&gt;='Sprint Plan'!$D5,L$3&lt;='Sprint Plan'!$E5),1,"")</f>
        <v/>
      </c>
      <c r="M5" s="16">
        <f>IF(AND(M$3&gt;='Sprint Plan'!$D5,M$3&lt;='Sprint Plan'!$E5),1,"")</f>
        <v/>
      </c>
    </row>
    <row r="6">
      <c r="A6" s="8">
        <f>'Sprint Plan'!A6</f>
        <v/>
      </c>
      <c r="B6" s="8">
        <f>'Sprint Plan'!B6</f>
        <v/>
      </c>
      <c r="C6" s="8">
        <f>'Sprint Plan'!C6</f>
        <v/>
      </c>
      <c r="D6" s="16">
        <f>IF(AND(D$3&gt;='Sprint Plan'!$D6,D$3&lt;='Sprint Plan'!$E6),1,"")</f>
        <v/>
      </c>
      <c r="E6" s="16">
        <f>IF(AND(E$3&gt;='Sprint Plan'!$D6,E$3&lt;='Sprint Plan'!$E6),1,"")</f>
        <v/>
      </c>
      <c r="F6" s="16">
        <f>IF(AND(F$3&gt;='Sprint Plan'!$D6,F$3&lt;='Sprint Plan'!$E6),1,"")</f>
        <v/>
      </c>
      <c r="G6" s="16">
        <f>IF(AND(G$3&gt;='Sprint Plan'!$D6,G$3&lt;='Sprint Plan'!$E6),1,"")</f>
        <v/>
      </c>
      <c r="H6" s="16">
        <f>IF(AND(H$3&gt;='Sprint Plan'!$D6,H$3&lt;='Sprint Plan'!$E6),1,"")</f>
        <v/>
      </c>
      <c r="I6" s="16">
        <f>IF(AND(I$3&gt;='Sprint Plan'!$D6,I$3&lt;='Sprint Plan'!$E6),1,"")</f>
        <v/>
      </c>
      <c r="J6" s="16">
        <f>IF(AND(J$3&gt;='Sprint Plan'!$D6,J$3&lt;='Sprint Plan'!$E6),1,"")</f>
        <v/>
      </c>
      <c r="K6" s="16">
        <f>IF(AND(K$3&gt;='Sprint Plan'!$D6,K$3&lt;='Sprint Plan'!$E6),1,"")</f>
        <v/>
      </c>
      <c r="L6" s="16">
        <f>IF(AND(L$3&gt;='Sprint Plan'!$D6,L$3&lt;='Sprint Plan'!$E6),1,"")</f>
        <v/>
      </c>
      <c r="M6" s="16">
        <f>IF(AND(M$3&gt;='Sprint Plan'!$D6,M$3&lt;='Sprint Plan'!$E6),1,"")</f>
        <v/>
      </c>
    </row>
    <row r="7">
      <c r="A7" s="8">
        <f>'Sprint Plan'!A7</f>
        <v/>
      </c>
      <c r="B7" s="8">
        <f>'Sprint Plan'!B7</f>
        <v/>
      </c>
      <c r="C7" s="8">
        <f>'Sprint Plan'!C7</f>
        <v/>
      </c>
      <c r="D7" s="16">
        <f>IF(AND(D$3&gt;='Sprint Plan'!$D7,D$3&lt;='Sprint Plan'!$E7),1,"")</f>
        <v/>
      </c>
      <c r="E7" s="16">
        <f>IF(AND(E$3&gt;='Sprint Plan'!$D7,E$3&lt;='Sprint Plan'!$E7),1,"")</f>
        <v/>
      </c>
      <c r="F7" s="16">
        <f>IF(AND(F$3&gt;='Sprint Plan'!$D7,F$3&lt;='Sprint Plan'!$E7),1,"")</f>
        <v/>
      </c>
      <c r="G7" s="16">
        <f>IF(AND(G$3&gt;='Sprint Plan'!$D7,G$3&lt;='Sprint Plan'!$E7),1,"")</f>
        <v/>
      </c>
      <c r="H7" s="16">
        <f>IF(AND(H$3&gt;='Sprint Plan'!$D7,H$3&lt;='Sprint Plan'!$E7),1,"")</f>
        <v/>
      </c>
      <c r="I7" s="16">
        <f>IF(AND(I$3&gt;='Sprint Plan'!$D7,I$3&lt;='Sprint Plan'!$E7),1,"")</f>
        <v/>
      </c>
      <c r="J7" s="16">
        <f>IF(AND(J$3&gt;='Sprint Plan'!$D7,J$3&lt;='Sprint Plan'!$E7),1,"")</f>
        <v/>
      </c>
      <c r="K7" s="16">
        <f>IF(AND(K$3&gt;='Sprint Plan'!$D7,K$3&lt;='Sprint Plan'!$E7),1,"")</f>
        <v/>
      </c>
      <c r="L7" s="16">
        <f>IF(AND(L$3&gt;='Sprint Plan'!$D7,L$3&lt;='Sprint Plan'!$E7),1,"")</f>
        <v/>
      </c>
      <c r="M7" s="16">
        <f>IF(AND(M$3&gt;='Sprint Plan'!$D7,M$3&lt;='Sprint Plan'!$E7),1,"")</f>
        <v/>
      </c>
    </row>
    <row r="8">
      <c r="A8" s="8">
        <f>'Sprint Plan'!A8</f>
        <v/>
      </c>
      <c r="B8" s="8">
        <f>'Sprint Plan'!B8</f>
        <v/>
      </c>
      <c r="C8" s="8">
        <f>'Sprint Plan'!C8</f>
        <v/>
      </c>
      <c r="D8" s="16">
        <f>IF(AND(D$3&gt;='Sprint Plan'!$D8,D$3&lt;='Sprint Plan'!$E8),1,"")</f>
        <v/>
      </c>
      <c r="E8" s="16">
        <f>IF(AND(E$3&gt;='Sprint Plan'!$D8,E$3&lt;='Sprint Plan'!$E8),1,"")</f>
        <v/>
      </c>
      <c r="F8" s="16">
        <f>IF(AND(F$3&gt;='Sprint Plan'!$D8,F$3&lt;='Sprint Plan'!$E8),1,"")</f>
        <v/>
      </c>
      <c r="G8" s="16">
        <f>IF(AND(G$3&gt;='Sprint Plan'!$D8,G$3&lt;='Sprint Plan'!$E8),1,"")</f>
        <v/>
      </c>
      <c r="H8" s="16">
        <f>IF(AND(H$3&gt;='Sprint Plan'!$D8,H$3&lt;='Sprint Plan'!$E8),1,"")</f>
        <v/>
      </c>
      <c r="I8" s="16">
        <f>IF(AND(I$3&gt;='Sprint Plan'!$D8,I$3&lt;='Sprint Plan'!$E8),1,"")</f>
        <v/>
      </c>
      <c r="J8" s="16">
        <f>IF(AND(J$3&gt;='Sprint Plan'!$D8,J$3&lt;='Sprint Plan'!$E8),1,"")</f>
        <v/>
      </c>
      <c r="K8" s="16">
        <f>IF(AND(K$3&gt;='Sprint Plan'!$D8,K$3&lt;='Sprint Plan'!$E8),1,"")</f>
        <v/>
      </c>
      <c r="L8" s="16">
        <f>IF(AND(L$3&gt;='Sprint Plan'!$D8,L$3&lt;='Sprint Plan'!$E8),1,"")</f>
        <v/>
      </c>
      <c r="M8" s="16">
        <f>IF(AND(M$3&gt;='Sprint Plan'!$D8,M$3&lt;='Sprint Plan'!$E8),1,"")</f>
        <v/>
      </c>
    </row>
    <row r="9">
      <c r="A9" s="8">
        <f>'Sprint Plan'!A9</f>
        <v/>
      </c>
      <c r="B9" s="8">
        <f>'Sprint Plan'!B9</f>
        <v/>
      </c>
      <c r="C9" s="8">
        <f>'Sprint Plan'!C9</f>
        <v/>
      </c>
      <c r="D9" s="16">
        <f>IF(AND(D$3&gt;='Sprint Plan'!$D9,D$3&lt;='Sprint Plan'!$E9),1,"")</f>
        <v/>
      </c>
      <c r="E9" s="16">
        <f>IF(AND(E$3&gt;='Sprint Plan'!$D9,E$3&lt;='Sprint Plan'!$E9),1,"")</f>
        <v/>
      </c>
      <c r="F9" s="16">
        <f>IF(AND(F$3&gt;='Sprint Plan'!$D9,F$3&lt;='Sprint Plan'!$E9),1,"")</f>
        <v/>
      </c>
      <c r="G9" s="16">
        <f>IF(AND(G$3&gt;='Sprint Plan'!$D9,G$3&lt;='Sprint Plan'!$E9),1,"")</f>
        <v/>
      </c>
      <c r="H9" s="16">
        <f>IF(AND(H$3&gt;='Sprint Plan'!$D9,H$3&lt;='Sprint Plan'!$E9),1,"")</f>
        <v/>
      </c>
      <c r="I9" s="16">
        <f>IF(AND(I$3&gt;='Sprint Plan'!$D9,I$3&lt;='Sprint Plan'!$E9),1,"")</f>
        <v/>
      </c>
      <c r="J9" s="16">
        <f>IF(AND(J$3&gt;='Sprint Plan'!$D9,J$3&lt;='Sprint Plan'!$E9),1,"")</f>
        <v/>
      </c>
      <c r="K9" s="16">
        <f>IF(AND(K$3&gt;='Sprint Plan'!$D9,K$3&lt;='Sprint Plan'!$E9),1,"")</f>
        <v/>
      </c>
      <c r="L9" s="16">
        <f>IF(AND(L$3&gt;='Sprint Plan'!$D9,L$3&lt;='Sprint Plan'!$E9),1,"")</f>
        <v/>
      </c>
      <c r="M9" s="16">
        <f>IF(AND(M$3&gt;='Sprint Plan'!$D9,M$3&lt;='Sprint Plan'!$E9),1,"")</f>
        <v/>
      </c>
    </row>
    <row r="10">
      <c r="A10" s="8">
        <f>'Sprint Plan'!A10</f>
        <v/>
      </c>
      <c r="B10" s="8">
        <f>'Sprint Plan'!B10</f>
        <v/>
      </c>
      <c r="C10" s="8">
        <f>'Sprint Plan'!C10</f>
        <v/>
      </c>
      <c r="D10" s="16">
        <f>IF(AND(D$3&gt;='Sprint Plan'!$D10,D$3&lt;='Sprint Plan'!$E10),1,"")</f>
        <v/>
      </c>
      <c r="E10" s="16">
        <f>IF(AND(E$3&gt;='Sprint Plan'!$D10,E$3&lt;='Sprint Plan'!$E10),1,"")</f>
        <v/>
      </c>
      <c r="F10" s="16">
        <f>IF(AND(F$3&gt;='Sprint Plan'!$D10,F$3&lt;='Sprint Plan'!$E10),1,"")</f>
        <v/>
      </c>
      <c r="G10" s="16">
        <f>IF(AND(G$3&gt;='Sprint Plan'!$D10,G$3&lt;='Sprint Plan'!$E10),1,"")</f>
        <v/>
      </c>
      <c r="H10" s="16">
        <f>IF(AND(H$3&gt;='Sprint Plan'!$D10,H$3&lt;='Sprint Plan'!$E10),1,"")</f>
        <v/>
      </c>
      <c r="I10" s="16">
        <f>IF(AND(I$3&gt;='Sprint Plan'!$D10,I$3&lt;='Sprint Plan'!$E10),1,"")</f>
        <v/>
      </c>
      <c r="J10" s="16">
        <f>IF(AND(J$3&gt;='Sprint Plan'!$D10,J$3&lt;='Sprint Plan'!$E10),1,"")</f>
        <v/>
      </c>
      <c r="K10" s="16">
        <f>IF(AND(K$3&gt;='Sprint Plan'!$D10,K$3&lt;='Sprint Plan'!$E10),1,"")</f>
        <v/>
      </c>
      <c r="L10" s="16">
        <f>IF(AND(L$3&gt;='Sprint Plan'!$D10,L$3&lt;='Sprint Plan'!$E10),1,"")</f>
        <v/>
      </c>
      <c r="M10" s="16">
        <f>IF(AND(M$3&gt;='Sprint Plan'!$D10,M$3&lt;='Sprint Plan'!$E10),1,"")</f>
        <v/>
      </c>
    </row>
    <row r="11">
      <c r="A11" s="8">
        <f>'Sprint Plan'!A11</f>
        <v/>
      </c>
      <c r="B11" s="8">
        <f>'Sprint Plan'!B11</f>
        <v/>
      </c>
      <c r="C11" s="8">
        <f>'Sprint Plan'!C11</f>
        <v/>
      </c>
      <c r="D11" s="16">
        <f>IF(AND(D$3&gt;='Sprint Plan'!$D11,D$3&lt;='Sprint Plan'!$E11),1,"")</f>
        <v/>
      </c>
      <c r="E11" s="16">
        <f>IF(AND(E$3&gt;='Sprint Plan'!$D11,E$3&lt;='Sprint Plan'!$E11),1,"")</f>
        <v/>
      </c>
      <c r="F11" s="16">
        <f>IF(AND(F$3&gt;='Sprint Plan'!$D11,F$3&lt;='Sprint Plan'!$E11),1,"")</f>
        <v/>
      </c>
      <c r="G11" s="16">
        <f>IF(AND(G$3&gt;='Sprint Plan'!$D11,G$3&lt;='Sprint Plan'!$E11),1,"")</f>
        <v/>
      </c>
      <c r="H11" s="16">
        <f>IF(AND(H$3&gt;='Sprint Plan'!$D11,H$3&lt;='Sprint Plan'!$E11),1,"")</f>
        <v/>
      </c>
      <c r="I11" s="16">
        <f>IF(AND(I$3&gt;='Sprint Plan'!$D11,I$3&lt;='Sprint Plan'!$E11),1,"")</f>
        <v/>
      </c>
      <c r="J11" s="16">
        <f>IF(AND(J$3&gt;='Sprint Plan'!$D11,J$3&lt;='Sprint Plan'!$E11),1,"")</f>
        <v/>
      </c>
      <c r="K11" s="16">
        <f>IF(AND(K$3&gt;='Sprint Plan'!$D11,K$3&lt;='Sprint Plan'!$E11),1,"")</f>
        <v/>
      </c>
      <c r="L11" s="16">
        <f>IF(AND(L$3&gt;='Sprint Plan'!$D11,L$3&lt;='Sprint Plan'!$E11),1,"")</f>
        <v/>
      </c>
      <c r="M11" s="16">
        <f>IF(AND(M$3&gt;='Sprint Plan'!$D11,M$3&lt;='Sprint Plan'!$E11),1,"")</f>
        <v/>
      </c>
    </row>
    <row r="12">
      <c r="A12" s="8">
        <f>'Sprint Plan'!A12</f>
        <v/>
      </c>
      <c r="B12" s="8">
        <f>'Sprint Plan'!B12</f>
        <v/>
      </c>
      <c r="C12" s="8">
        <f>'Sprint Plan'!C12</f>
        <v/>
      </c>
      <c r="D12" s="16">
        <f>IF(AND(D$3&gt;='Sprint Plan'!$D12,D$3&lt;='Sprint Plan'!$E12),1,"")</f>
        <v/>
      </c>
      <c r="E12" s="16">
        <f>IF(AND(E$3&gt;='Sprint Plan'!$D12,E$3&lt;='Sprint Plan'!$E12),1,"")</f>
        <v/>
      </c>
      <c r="F12" s="16">
        <f>IF(AND(F$3&gt;='Sprint Plan'!$D12,F$3&lt;='Sprint Plan'!$E12),1,"")</f>
        <v/>
      </c>
      <c r="G12" s="16">
        <f>IF(AND(G$3&gt;='Sprint Plan'!$D12,G$3&lt;='Sprint Plan'!$E12),1,"")</f>
        <v/>
      </c>
      <c r="H12" s="16">
        <f>IF(AND(H$3&gt;='Sprint Plan'!$D12,H$3&lt;='Sprint Plan'!$E12),1,"")</f>
        <v/>
      </c>
      <c r="I12" s="16">
        <f>IF(AND(I$3&gt;='Sprint Plan'!$D12,I$3&lt;='Sprint Plan'!$E12),1,"")</f>
        <v/>
      </c>
      <c r="J12" s="16">
        <f>IF(AND(J$3&gt;='Sprint Plan'!$D12,J$3&lt;='Sprint Plan'!$E12),1,"")</f>
        <v/>
      </c>
      <c r="K12" s="16">
        <f>IF(AND(K$3&gt;='Sprint Plan'!$D12,K$3&lt;='Sprint Plan'!$E12),1,"")</f>
        <v/>
      </c>
      <c r="L12" s="16">
        <f>IF(AND(L$3&gt;='Sprint Plan'!$D12,L$3&lt;='Sprint Plan'!$E12),1,"")</f>
        <v/>
      </c>
      <c r="M12" s="16">
        <f>IF(AND(M$3&gt;='Sprint Plan'!$D12,M$3&lt;='Sprint Plan'!$E12),1,"")</f>
        <v/>
      </c>
    </row>
    <row r="13">
      <c r="A13" s="8">
        <f>'Sprint Plan'!A13</f>
        <v/>
      </c>
      <c r="B13" s="8">
        <f>'Sprint Plan'!B13</f>
        <v/>
      </c>
      <c r="C13" s="8">
        <f>'Sprint Plan'!C13</f>
        <v/>
      </c>
      <c r="D13" s="16">
        <f>IF(AND(D$3&gt;='Sprint Plan'!$D13,D$3&lt;='Sprint Plan'!$E13),1,"")</f>
        <v/>
      </c>
      <c r="E13" s="16">
        <f>IF(AND(E$3&gt;='Sprint Plan'!$D13,E$3&lt;='Sprint Plan'!$E13),1,"")</f>
        <v/>
      </c>
      <c r="F13" s="16">
        <f>IF(AND(F$3&gt;='Sprint Plan'!$D13,F$3&lt;='Sprint Plan'!$E13),1,"")</f>
        <v/>
      </c>
      <c r="G13" s="16">
        <f>IF(AND(G$3&gt;='Sprint Plan'!$D13,G$3&lt;='Sprint Plan'!$E13),1,"")</f>
        <v/>
      </c>
      <c r="H13" s="16">
        <f>IF(AND(H$3&gt;='Sprint Plan'!$D13,H$3&lt;='Sprint Plan'!$E13),1,"")</f>
        <v/>
      </c>
      <c r="I13" s="16">
        <f>IF(AND(I$3&gt;='Sprint Plan'!$D13,I$3&lt;='Sprint Plan'!$E13),1,"")</f>
        <v/>
      </c>
      <c r="J13" s="16">
        <f>IF(AND(J$3&gt;='Sprint Plan'!$D13,J$3&lt;='Sprint Plan'!$E13),1,"")</f>
        <v/>
      </c>
      <c r="K13" s="16">
        <f>IF(AND(K$3&gt;='Sprint Plan'!$D13,K$3&lt;='Sprint Plan'!$E13),1,"")</f>
        <v/>
      </c>
      <c r="L13" s="16">
        <f>IF(AND(L$3&gt;='Sprint Plan'!$D13,L$3&lt;='Sprint Plan'!$E13),1,"")</f>
        <v/>
      </c>
      <c r="M13" s="16">
        <f>IF(AND(M$3&gt;='Sprint Plan'!$D13,M$3&lt;='Sprint Plan'!$E13),1,"")</f>
        <v/>
      </c>
    </row>
    <row r="14">
      <c r="A14" s="8">
        <f>'Sprint Plan'!A14</f>
        <v/>
      </c>
      <c r="B14" s="8">
        <f>'Sprint Plan'!B14</f>
        <v/>
      </c>
      <c r="C14" s="8">
        <f>'Sprint Plan'!C14</f>
        <v/>
      </c>
      <c r="D14" s="16">
        <f>IF(AND(D$3&gt;='Sprint Plan'!$D14,D$3&lt;='Sprint Plan'!$E14),1,"")</f>
        <v/>
      </c>
      <c r="E14" s="16">
        <f>IF(AND(E$3&gt;='Sprint Plan'!$D14,E$3&lt;='Sprint Plan'!$E14),1,"")</f>
        <v/>
      </c>
      <c r="F14" s="16">
        <f>IF(AND(F$3&gt;='Sprint Plan'!$D14,F$3&lt;='Sprint Plan'!$E14),1,"")</f>
        <v/>
      </c>
      <c r="G14" s="16">
        <f>IF(AND(G$3&gt;='Sprint Plan'!$D14,G$3&lt;='Sprint Plan'!$E14),1,"")</f>
        <v/>
      </c>
      <c r="H14" s="16">
        <f>IF(AND(H$3&gt;='Sprint Plan'!$D14,H$3&lt;='Sprint Plan'!$E14),1,"")</f>
        <v/>
      </c>
      <c r="I14" s="16">
        <f>IF(AND(I$3&gt;='Sprint Plan'!$D14,I$3&lt;='Sprint Plan'!$E14),1,"")</f>
        <v/>
      </c>
      <c r="J14" s="16">
        <f>IF(AND(J$3&gt;='Sprint Plan'!$D14,J$3&lt;='Sprint Plan'!$E14),1,"")</f>
        <v/>
      </c>
      <c r="K14" s="16">
        <f>IF(AND(K$3&gt;='Sprint Plan'!$D14,K$3&lt;='Sprint Plan'!$E14),1,"")</f>
        <v/>
      </c>
      <c r="L14" s="16">
        <f>IF(AND(L$3&gt;='Sprint Plan'!$D14,L$3&lt;='Sprint Plan'!$E14),1,"")</f>
        <v/>
      </c>
      <c r="M14" s="16">
        <f>IF(AND(M$3&gt;='Sprint Plan'!$D14,M$3&lt;='Sprint Plan'!$E14),1,"")</f>
        <v/>
      </c>
    </row>
    <row r="15">
      <c r="A15" s="8">
        <f>'Sprint Plan'!A15</f>
        <v/>
      </c>
      <c r="B15" s="8">
        <f>'Sprint Plan'!B15</f>
        <v/>
      </c>
      <c r="C15" s="8">
        <f>'Sprint Plan'!C15</f>
        <v/>
      </c>
      <c r="D15" s="16">
        <f>IF(AND(D$3&gt;='Sprint Plan'!$D15,D$3&lt;='Sprint Plan'!$E15),1,"")</f>
        <v/>
      </c>
      <c r="E15" s="16">
        <f>IF(AND(E$3&gt;='Sprint Plan'!$D15,E$3&lt;='Sprint Plan'!$E15),1,"")</f>
        <v/>
      </c>
      <c r="F15" s="16">
        <f>IF(AND(F$3&gt;='Sprint Plan'!$D15,F$3&lt;='Sprint Plan'!$E15),1,"")</f>
        <v/>
      </c>
      <c r="G15" s="16">
        <f>IF(AND(G$3&gt;='Sprint Plan'!$D15,G$3&lt;='Sprint Plan'!$E15),1,"")</f>
        <v/>
      </c>
      <c r="H15" s="16">
        <f>IF(AND(H$3&gt;='Sprint Plan'!$D15,H$3&lt;='Sprint Plan'!$E15),1,"")</f>
        <v/>
      </c>
      <c r="I15" s="16">
        <f>IF(AND(I$3&gt;='Sprint Plan'!$D15,I$3&lt;='Sprint Plan'!$E15),1,"")</f>
        <v/>
      </c>
      <c r="J15" s="16">
        <f>IF(AND(J$3&gt;='Sprint Plan'!$D15,J$3&lt;='Sprint Plan'!$E15),1,"")</f>
        <v/>
      </c>
      <c r="K15" s="16">
        <f>IF(AND(K$3&gt;='Sprint Plan'!$D15,K$3&lt;='Sprint Plan'!$E15),1,"")</f>
        <v/>
      </c>
      <c r="L15" s="16">
        <f>IF(AND(L$3&gt;='Sprint Plan'!$D15,L$3&lt;='Sprint Plan'!$E15),1,"")</f>
        <v/>
      </c>
      <c r="M15" s="16">
        <f>IF(AND(M$3&gt;='Sprint Plan'!$D15,M$3&lt;='Sprint Plan'!$E15),1,"")</f>
        <v/>
      </c>
    </row>
    <row r="16">
      <c r="A16" s="8">
        <f>'Sprint Plan'!A16</f>
        <v/>
      </c>
      <c r="B16" s="8">
        <f>'Sprint Plan'!B16</f>
        <v/>
      </c>
      <c r="C16" s="8">
        <f>'Sprint Plan'!C16</f>
        <v/>
      </c>
      <c r="D16" s="16">
        <f>IF(AND(D$3&gt;='Sprint Plan'!$D16,D$3&lt;='Sprint Plan'!$E16),1,"")</f>
        <v/>
      </c>
      <c r="E16" s="16">
        <f>IF(AND(E$3&gt;='Sprint Plan'!$D16,E$3&lt;='Sprint Plan'!$E16),1,"")</f>
        <v/>
      </c>
      <c r="F16" s="16">
        <f>IF(AND(F$3&gt;='Sprint Plan'!$D16,F$3&lt;='Sprint Plan'!$E16),1,"")</f>
        <v/>
      </c>
      <c r="G16" s="16">
        <f>IF(AND(G$3&gt;='Sprint Plan'!$D16,G$3&lt;='Sprint Plan'!$E16),1,"")</f>
        <v/>
      </c>
      <c r="H16" s="16">
        <f>IF(AND(H$3&gt;='Sprint Plan'!$D16,H$3&lt;='Sprint Plan'!$E16),1,"")</f>
        <v/>
      </c>
      <c r="I16" s="16">
        <f>IF(AND(I$3&gt;='Sprint Plan'!$D16,I$3&lt;='Sprint Plan'!$E16),1,"")</f>
        <v/>
      </c>
      <c r="J16" s="16">
        <f>IF(AND(J$3&gt;='Sprint Plan'!$D16,J$3&lt;='Sprint Plan'!$E16),1,"")</f>
        <v/>
      </c>
      <c r="K16" s="16">
        <f>IF(AND(K$3&gt;='Sprint Plan'!$D16,K$3&lt;='Sprint Plan'!$E16),1,"")</f>
        <v/>
      </c>
      <c r="L16" s="16">
        <f>IF(AND(L$3&gt;='Sprint Plan'!$D16,L$3&lt;='Sprint Plan'!$E16),1,"")</f>
        <v/>
      </c>
      <c r="M16" s="16">
        <f>IF(AND(M$3&gt;='Sprint Plan'!$D16,M$3&lt;='Sprint Plan'!$E16),1,"")</f>
        <v/>
      </c>
    </row>
    <row r="17">
      <c r="A17" s="8">
        <f>'Sprint Plan'!A17</f>
        <v/>
      </c>
      <c r="B17" s="8">
        <f>'Sprint Plan'!B17</f>
        <v/>
      </c>
      <c r="C17" s="8">
        <f>'Sprint Plan'!C17</f>
        <v/>
      </c>
      <c r="D17" s="16">
        <f>IF(AND(D$3&gt;='Sprint Plan'!$D17,D$3&lt;='Sprint Plan'!$E17),1,"")</f>
        <v/>
      </c>
      <c r="E17" s="16">
        <f>IF(AND(E$3&gt;='Sprint Plan'!$D17,E$3&lt;='Sprint Plan'!$E17),1,"")</f>
        <v/>
      </c>
      <c r="F17" s="16">
        <f>IF(AND(F$3&gt;='Sprint Plan'!$D17,F$3&lt;='Sprint Plan'!$E17),1,"")</f>
        <v/>
      </c>
      <c r="G17" s="16">
        <f>IF(AND(G$3&gt;='Sprint Plan'!$D17,G$3&lt;='Sprint Plan'!$E17),1,"")</f>
        <v/>
      </c>
      <c r="H17" s="16">
        <f>IF(AND(H$3&gt;='Sprint Plan'!$D17,H$3&lt;='Sprint Plan'!$E17),1,"")</f>
        <v/>
      </c>
      <c r="I17" s="16">
        <f>IF(AND(I$3&gt;='Sprint Plan'!$D17,I$3&lt;='Sprint Plan'!$E17),1,"")</f>
        <v/>
      </c>
      <c r="J17" s="16">
        <f>IF(AND(J$3&gt;='Sprint Plan'!$D17,J$3&lt;='Sprint Plan'!$E17),1,"")</f>
        <v/>
      </c>
      <c r="K17" s="16">
        <f>IF(AND(K$3&gt;='Sprint Plan'!$D17,K$3&lt;='Sprint Plan'!$E17),1,"")</f>
        <v/>
      </c>
      <c r="L17" s="16">
        <f>IF(AND(L$3&gt;='Sprint Plan'!$D17,L$3&lt;='Sprint Plan'!$E17),1,"")</f>
        <v/>
      </c>
      <c r="M17" s="16">
        <f>IF(AND(M$3&gt;='Sprint Plan'!$D17,M$3&lt;='Sprint Plan'!$E17),1,"")</f>
        <v/>
      </c>
    </row>
    <row r="18">
      <c r="A18" s="8">
        <f>'Sprint Plan'!A18</f>
        <v/>
      </c>
      <c r="B18" s="8">
        <f>'Sprint Plan'!B18</f>
        <v/>
      </c>
      <c r="C18" s="8">
        <f>'Sprint Plan'!C18</f>
        <v/>
      </c>
      <c r="D18" s="16">
        <f>IF(AND(D$3&gt;='Sprint Plan'!$D18,D$3&lt;='Sprint Plan'!$E18),1,"")</f>
        <v/>
      </c>
      <c r="E18" s="16">
        <f>IF(AND(E$3&gt;='Sprint Plan'!$D18,E$3&lt;='Sprint Plan'!$E18),1,"")</f>
        <v/>
      </c>
      <c r="F18" s="16">
        <f>IF(AND(F$3&gt;='Sprint Plan'!$D18,F$3&lt;='Sprint Plan'!$E18),1,"")</f>
        <v/>
      </c>
      <c r="G18" s="16">
        <f>IF(AND(G$3&gt;='Sprint Plan'!$D18,G$3&lt;='Sprint Plan'!$E18),1,"")</f>
        <v/>
      </c>
      <c r="H18" s="16">
        <f>IF(AND(H$3&gt;='Sprint Plan'!$D18,H$3&lt;='Sprint Plan'!$E18),1,"")</f>
        <v/>
      </c>
      <c r="I18" s="16">
        <f>IF(AND(I$3&gt;='Sprint Plan'!$D18,I$3&lt;='Sprint Plan'!$E18),1,"")</f>
        <v/>
      </c>
      <c r="J18" s="16">
        <f>IF(AND(J$3&gt;='Sprint Plan'!$D18,J$3&lt;='Sprint Plan'!$E18),1,"")</f>
        <v/>
      </c>
      <c r="K18" s="16">
        <f>IF(AND(K$3&gt;='Sprint Plan'!$D18,K$3&lt;='Sprint Plan'!$E18),1,"")</f>
        <v/>
      </c>
      <c r="L18" s="16">
        <f>IF(AND(L$3&gt;='Sprint Plan'!$D18,L$3&lt;='Sprint Plan'!$E18),1,"")</f>
        <v/>
      </c>
      <c r="M18" s="16">
        <f>IF(AND(M$3&gt;='Sprint Plan'!$D18,M$3&lt;='Sprint Plan'!$E18),1,"")</f>
        <v/>
      </c>
    </row>
    <row r="19">
      <c r="A19" s="8">
        <f>'Sprint Plan'!A19</f>
        <v/>
      </c>
      <c r="B19" s="8">
        <f>'Sprint Plan'!B19</f>
        <v/>
      </c>
      <c r="C19" s="8">
        <f>'Sprint Plan'!C19</f>
        <v/>
      </c>
      <c r="D19" s="16">
        <f>IF(AND(D$3&gt;='Sprint Plan'!$D19,D$3&lt;='Sprint Plan'!$E19),1,"")</f>
        <v/>
      </c>
      <c r="E19" s="16">
        <f>IF(AND(E$3&gt;='Sprint Plan'!$D19,E$3&lt;='Sprint Plan'!$E19),1,"")</f>
        <v/>
      </c>
      <c r="F19" s="16">
        <f>IF(AND(F$3&gt;='Sprint Plan'!$D19,F$3&lt;='Sprint Plan'!$E19),1,"")</f>
        <v/>
      </c>
      <c r="G19" s="16">
        <f>IF(AND(G$3&gt;='Sprint Plan'!$D19,G$3&lt;='Sprint Plan'!$E19),1,"")</f>
        <v/>
      </c>
      <c r="H19" s="16">
        <f>IF(AND(H$3&gt;='Sprint Plan'!$D19,H$3&lt;='Sprint Plan'!$E19),1,"")</f>
        <v/>
      </c>
      <c r="I19" s="16">
        <f>IF(AND(I$3&gt;='Sprint Plan'!$D19,I$3&lt;='Sprint Plan'!$E19),1,"")</f>
        <v/>
      </c>
      <c r="J19" s="16">
        <f>IF(AND(J$3&gt;='Sprint Plan'!$D19,J$3&lt;='Sprint Plan'!$E19),1,"")</f>
        <v/>
      </c>
      <c r="K19" s="16">
        <f>IF(AND(K$3&gt;='Sprint Plan'!$D19,K$3&lt;='Sprint Plan'!$E19),1,"")</f>
        <v/>
      </c>
      <c r="L19" s="16">
        <f>IF(AND(L$3&gt;='Sprint Plan'!$D19,L$3&lt;='Sprint Plan'!$E19),1,"")</f>
        <v/>
      </c>
      <c r="M19" s="16">
        <f>IF(AND(M$3&gt;='Sprint Plan'!$D19,M$3&lt;='Sprint Plan'!$E19),1,"")</f>
        <v/>
      </c>
    </row>
    <row r="20">
      <c r="A20" s="8">
        <f>'Sprint Plan'!A20</f>
        <v/>
      </c>
      <c r="B20" s="8">
        <f>'Sprint Plan'!B20</f>
        <v/>
      </c>
      <c r="C20" s="8">
        <f>'Sprint Plan'!C20</f>
        <v/>
      </c>
      <c r="D20" s="16">
        <f>IF(AND(D$3&gt;='Sprint Plan'!$D20,D$3&lt;='Sprint Plan'!$E20),1,"")</f>
        <v/>
      </c>
      <c r="E20" s="16">
        <f>IF(AND(E$3&gt;='Sprint Plan'!$D20,E$3&lt;='Sprint Plan'!$E20),1,"")</f>
        <v/>
      </c>
      <c r="F20" s="16">
        <f>IF(AND(F$3&gt;='Sprint Plan'!$D20,F$3&lt;='Sprint Plan'!$E20),1,"")</f>
        <v/>
      </c>
      <c r="G20" s="16">
        <f>IF(AND(G$3&gt;='Sprint Plan'!$D20,G$3&lt;='Sprint Plan'!$E20),1,"")</f>
        <v/>
      </c>
      <c r="H20" s="16">
        <f>IF(AND(H$3&gt;='Sprint Plan'!$D20,H$3&lt;='Sprint Plan'!$E20),1,"")</f>
        <v/>
      </c>
      <c r="I20" s="16">
        <f>IF(AND(I$3&gt;='Sprint Plan'!$D20,I$3&lt;='Sprint Plan'!$E20),1,"")</f>
        <v/>
      </c>
      <c r="J20" s="16">
        <f>IF(AND(J$3&gt;='Sprint Plan'!$D20,J$3&lt;='Sprint Plan'!$E20),1,"")</f>
        <v/>
      </c>
      <c r="K20" s="16">
        <f>IF(AND(K$3&gt;='Sprint Plan'!$D20,K$3&lt;='Sprint Plan'!$E20),1,"")</f>
        <v/>
      </c>
      <c r="L20" s="16">
        <f>IF(AND(L$3&gt;='Sprint Plan'!$D20,L$3&lt;='Sprint Plan'!$E20),1,"")</f>
        <v/>
      </c>
      <c r="M20" s="16">
        <f>IF(AND(M$3&gt;='Sprint Plan'!$D20,M$3&lt;='Sprint Plan'!$E20),1,"")</f>
        <v/>
      </c>
    </row>
    <row r="21">
      <c r="A21" s="8">
        <f>'Sprint Plan'!A21</f>
        <v/>
      </c>
      <c r="B21" s="8">
        <f>'Sprint Plan'!B21</f>
        <v/>
      </c>
      <c r="C21" s="8">
        <f>'Sprint Plan'!C21</f>
        <v/>
      </c>
      <c r="D21" s="16">
        <f>IF(AND(D$3&gt;='Sprint Plan'!$D21,D$3&lt;='Sprint Plan'!$E21),1,"")</f>
        <v/>
      </c>
      <c r="E21" s="16">
        <f>IF(AND(E$3&gt;='Sprint Plan'!$D21,E$3&lt;='Sprint Plan'!$E21),1,"")</f>
        <v/>
      </c>
      <c r="F21" s="16">
        <f>IF(AND(F$3&gt;='Sprint Plan'!$D21,F$3&lt;='Sprint Plan'!$E21),1,"")</f>
        <v/>
      </c>
      <c r="G21" s="16">
        <f>IF(AND(G$3&gt;='Sprint Plan'!$D21,G$3&lt;='Sprint Plan'!$E21),1,"")</f>
        <v/>
      </c>
      <c r="H21" s="16">
        <f>IF(AND(H$3&gt;='Sprint Plan'!$D21,H$3&lt;='Sprint Plan'!$E21),1,"")</f>
        <v/>
      </c>
      <c r="I21" s="16">
        <f>IF(AND(I$3&gt;='Sprint Plan'!$D21,I$3&lt;='Sprint Plan'!$E21),1,"")</f>
        <v/>
      </c>
      <c r="J21" s="16">
        <f>IF(AND(J$3&gt;='Sprint Plan'!$D21,J$3&lt;='Sprint Plan'!$E21),1,"")</f>
        <v/>
      </c>
      <c r="K21" s="16">
        <f>IF(AND(K$3&gt;='Sprint Plan'!$D21,K$3&lt;='Sprint Plan'!$E21),1,"")</f>
        <v/>
      </c>
      <c r="L21" s="16">
        <f>IF(AND(L$3&gt;='Sprint Plan'!$D21,L$3&lt;='Sprint Plan'!$E21),1,"")</f>
        <v/>
      </c>
      <c r="M21" s="16">
        <f>IF(AND(M$3&gt;='Sprint Plan'!$D21,M$3&lt;='Sprint Plan'!$E21),1,"")</f>
        <v/>
      </c>
    </row>
    <row r="22">
      <c r="A22" s="8">
        <f>'Sprint Plan'!A22</f>
        <v/>
      </c>
      <c r="B22" s="8">
        <f>'Sprint Plan'!B22</f>
        <v/>
      </c>
      <c r="C22" s="8">
        <f>'Sprint Plan'!C22</f>
        <v/>
      </c>
      <c r="D22" s="16">
        <f>IF(AND(D$3&gt;='Sprint Plan'!$D22,D$3&lt;='Sprint Plan'!$E22),1,"")</f>
        <v/>
      </c>
      <c r="E22" s="16">
        <f>IF(AND(E$3&gt;='Sprint Plan'!$D22,E$3&lt;='Sprint Plan'!$E22),1,"")</f>
        <v/>
      </c>
      <c r="F22" s="16">
        <f>IF(AND(F$3&gt;='Sprint Plan'!$D22,F$3&lt;='Sprint Plan'!$E22),1,"")</f>
        <v/>
      </c>
      <c r="G22" s="16">
        <f>IF(AND(G$3&gt;='Sprint Plan'!$D22,G$3&lt;='Sprint Plan'!$E22),1,"")</f>
        <v/>
      </c>
      <c r="H22" s="16">
        <f>IF(AND(H$3&gt;='Sprint Plan'!$D22,H$3&lt;='Sprint Plan'!$E22),1,"")</f>
        <v/>
      </c>
      <c r="I22" s="16">
        <f>IF(AND(I$3&gt;='Sprint Plan'!$D22,I$3&lt;='Sprint Plan'!$E22),1,"")</f>
        <v/>
      </c>
      <c r="J22" s="16">
        <f>IF(AND(J$3&gt;='Sprint Plan'!$D22,J$3&lt;='Sprint Plan'!$E22),1,"")</f>
        <v/>
      </c>
      <c r="K22" s="16">
        <f>IF(AND(K$3&gt;='Sprint Plan'!$D22,K$3&lt;='Sprint Plan'!$E22),1,"")</f>
        <v/>
      </c>
      <c r="L22" s="16">
        <f>IF(AND(L$3&gt;='Sprint Plan'!$D22,L$3&lt;='Sprint Plan'!$E22),1,"")</f>
        <v/>
      </c>
      <c r="M22" s="16">
        <f>IF(AND(M$3&gt;='Sprint Plan'!$D22,M$3&lt;='Sprint Plan'!$E22),1,"")</f>
        <v/>
      </c>
    </row>
    <row r="23">
      <c r="A23" s="8">
        <f>'Sprint Plan'!A23</f>
        <v/>
      </c>
      <c r="B23" s="8">
        <f>'Sprint Plan'!B23</f>
        <v/>
      </c>
      <c r="C23" s="8">
        <f>'Sprint Plan'!C23</f>
        <v/>
      </c>
      <c r="D23" s="16">
        <f>IF(AND(D$3&gt;='Sprint Plan'!$D23,D$3&lt;='Sprint Plan'!$E23),1,"")</f>
        <v/>
      </c>
      <c r="E23" s="16">
        <f>IF(AND(E$3&gt;='Sprint Plan'!$D23,E$3&lt;='Sprint Plan'!$E23),1,"")</f>
        <v/>
      </c>
      <c r="F23" s="16">
        <f>IF(AND(F$3&gt;='Sprint Plan'!$D23,F$3&lt;='Sprint Plan'!$E23),1,"")</f>
        <v/>
      </c>
      <c r="G23" s="16">
        <f>IF(AND(G$3&gt;='Sprint Plan'!$D23,G$3&lt;='Sprint Plan'!$E23),1,"")</f>
        <v/>
      </c>
      <c r="H23" s="16">
        <f>IF(AND(H$3&gt;='Sprint Plan'!$D23,H$3&lt;='Sprint Plan'!$E23),1,"")</f>
        <v/>
      </c>
      <c r="I23" s="16">
        <f>IF(AND(I$3&gt;='Sprint Plan'!$D23,I$3&lt;='Sprint Plan'!$E23),1,"")</f>
        <v/>
      </c>
      <c r="J23" s="16">
        <f>IF(AND(J$3&gt;='Sprint Plan'!$D23,J$3&lt;='Sprint Plan'!$E23),1,"")</f>
        <v/>
      </c>
      <c r="K23" s="16">
        <f>IF(AND(K$3&gt;='Sprint Plan'!$D23,K$3&lt;='Sprint Plan'!$E23),1,"")</f>
        <v/>
      </c>
      <c r="L23" s="16">
        <f>IF(AND(L$3&gt;='Sprint Plan'!$D23,L$3&lt;='Sprint Plan'!$E23),1,"")</f>
        <v/>
      </c>
      <c r="M23" s="16">
        <f>IF(AND(M$3&gt;='Sprint Plan'!$D23,M$3&lt;='Sprint Plan'!$E23),1,"")</f>
        <v/>
      </c>
    </row>
    <row r="24">
      <c r="A24" s="8">
        <f>'Sprint Plan'!A24</f>
        <v/>
      </c>
      <c r="B24" s="8">
        <f>'Sprint Plan'!B24</f>
        <v/>
      </c>
      <c r="C24" s="8">
        <f>'Sprint Plan'!C24</f>
        <v/>
      </c>
      <c r="D24" s="16">
        <f>IF(AND(D$3&gt;='Sprint Plan'!$D24,D$3&lt;='Sprint Plan'!$E24),1,"")</f>
        <v/>
      </c>
      <c r="E24" s="16">
        <f>IF(AND(E$3&gt;='Sprint Plan'!$D24,E$3&lt;='Sprint Plan'!$E24),1,"")</f>
        <v/>
      </c>
      <c r="F24" s="16">
        <f>IF(AND(F$3&gt;='Sprint Plan'!$D24,F$3&lt;='Sprint Plan'!$E24),1,"")</f>
        <v/>
      </c>
      <c r="G24" s="16">
        <f>IF(AND(G$3&gt;='Sprint Plan'!$D24,G$3&lt;='Sprint Plan'!$E24),1,"")</f>
        <v/>
      </c>
      <c r="H24" s="16">
        <f>IF(AND(H$3&gt;='Sprint Plan'!$D24,H$3&lt;='Sprint Plan'!$E24),1,"")</f>
        <v/>
      </c>
      <c r="I24" s="16">
        <f>IF(AND(I$3&gt;='Sprint Plan'!$D24,I$3&lt;='Sprint Plan'!$E24),1,"")</f>
        <v/>
      </c>
      <c r="J24" s="16">
        <f>IF(AND(J$3&gt;='Sprint Plan'!$D24,J$3&lt;='Sprint Plan'!$E24),1,"")</f>
        <v/>
      </c>
      <c r="K24" s="16">
        <f>IF(AND(K$3&gt;='Sprint Plan'!$D24,K$3&lt;='Sprint Plan'!$E24),1,"")</f>
        <v/>
      </c>
      <c r="L24" s="16">
        <f>IF(AND(L$3&gt;='Sprint Plan'!$D24,L$3&lt;='Sprint Plan'!$E24),1,"")</f>
        <v/>
      </c>
      <c r="M24" s="16">
        <f>IF(AND(M$3&gt;='Sprint Plan'!$D24,M$3&lt;='Sprint Plan'!$E24),1,"")</f>
        <v/>
      </c>
    </row>
    <row r="25">
      <c r="A25" s="8">
        <f>'Sprint Plan'!A25</f>
        <v/>
      </c>
      <c r="B25" s="8">
        <f>'Sprint Plan'!B25</f>
        <v/>
      </c>
      <c r="C25" s="8">
        <f>'Sprint Plan'!C25</f>
        <v/>
      </c>
      <c r="D25" s="16">
        <f>IF(AND(D$3&gt;='Sprint Plan'!$D25,D$3&lt;='Sprint Plan'!$E25),1,"")</f>
        <v/>
      </c>
      <c r="E25" s="16">
        <f>IF(AND(E$3&gt;='Sprint Plan'!$D25,E$3&lt;='Sprint Plan'!$E25),1,"")</f>
        <v/>
      </c>
      <c r="F25" s="16">
        <f>IF(AND(F$3&gt;='Sprint Plan'!$D25,F$3&lt;='Sprint Plan'!$E25),1,"")</f>
        <v/>
      </c>
      <c r="G25" s="16">
        <f>IF(AND(G$3&gt;='Sprint Plan'!$D25,G$3&lt;='Sprint Plan'!$E25),1,"")</f>
        <v/>
      </c>
      <c r="H25" s="16">
        <f>IF(AND(H$3&gt;='Sprint Plan'!$D25,H$3&lt;='Sprint Plan'!$E25),1,"")</f>
        <v/>
      </c>
      <c r="I25" s="16">
        <f>IF(AND(I$3&gt;='Sprint Plan'!$D25,I$3&lt;='Sprint Plan'!$E25),1,"")</f>
        <v/>
      </c>
      <c r="J25" s="16">
        <f>IF(AND(J$3&gt;='Sprint Plan'!$D25,J$3&lt;='Sprint Plan'!$E25),1,"")</f>
        <v/>
      </c>
      <c r="K25" s="16">
        <f>IF(AND(K$3&gt;='Sprint Plan'!$D25,K$3&lt;='Sprint Plan'!$E25),1,"")</f>
        <v/>
      </c>
      <c r="L25" s="16">
        <f>IF(AND(L$3&gt;='Sprint Plan'!$D25,L$3&lt;='Sprint Plan'!$E25),1,"")</f>
        <v/>
      </c>
      <c r="M25" s="16">
        <f>IF(AND(M$3&gt;='Sprint Plan'!$D25,M$3&lt;='Sprint Plan'!$E25),1,"")</f>
        <v/>
      </c>
    </row>
    <row r="26">
      <c r="A26" s="8">
        <f>'Sprint Plan'!A26</f>
        <v/>
      </c>
      <c r="B26" s="8">
        <f>'Sprint Plan'!B26</f>
        <v/>
      </c>
      <c r="C26" s="8">
        <f>'Sprint Plan'!C26</f>
        <v/>
      </c>
      <c r="D26" s="16">
        <f>IF(AND(D$3&gt;='Sprint Plan'!$D26,D$3&lt;='Sprint Plan'!$E26),1,"")</f>
        <v/>
      </c>
      <c r="E26" s="16">
        <f>IF(AND(E$3&gt;='Sprint Plan'!$D26,E$3&lt;='Sprint Plan'!$E26),1,"")</f>
        <v/>
      </c>
      <c r="F26" s="16">
        <f>IF(AND(F$3&gt;='Sprint Plan'!$D26,F$3&lt;='Sprint Plan'!$E26),1,"")</f>
        <v/>
      </c>
      <c r="G26" s="16">
        <f>IF(AND(G$3&gt;='Sprint Plan'!$D26,G$3&lt;='Sprint Plan'!$E26),1,"")</f>
        <v/>
      </c>
      <c r="H26" s="16">
        <f>IF(AND(H$3&gt;='Sprint Plan'!$D26,H$3&lt;='Sprint Plan'!$E26),1,"")</f>
        <v/>
      </c>
      <c r="I26" s="16">
        <f>IF(AND(I$3&gt;='Sprint Plan'!$D26,I$3&lt;='Sprint Plan'!$E26),1,"")</f>
        <v/>
      </c>
      <c r="J26" s="16">
        <f>IF(AND(J$3&gt;='Sprint Plan'!$D26,J$3&lt;='Sprint Plan'!$E26),1,"")</f>
        <v/>
      </c>
      <c r="K26" s="16">
        <f>IF(AND(K$3&gt;='Sprint Plan'!$D26,K$3&lt;='Sprint Plan'!$E26),1,"")</f>
        <v/>
      </c>
      <c r="L26" s="16">
        <f>IF(AND(L$3&gt;='Sprint Plan'!$D26,L$3&lt;='Sprint Plan'!$E26),1,"")</f>
        <v/>
      </c>
      <c r="M26" s="16">
        <f>IF(AND(M$3&gt;='Sprint Plan'!$D26,M$3&lt;='Sprint Plan'!$E26),1,"")</f>
        <v/>
      </c>
    </row>
    <row r="27">
      <c r="A27" s="8">
        <f>'Sprint Plan'!A27</f>
        <v/>
      </c>
      <c r="B27" s="8">
        <f>'Sprint Plan'!B27</f>
        <v/>
      </c>
      <c r="C27" s="8">
        <f>'Sprint Plan'!C27</f>
        <v/>
      </c>
      <c r="D27" s="16">
        <f>IF(AND(D$3&gt;='Sprint Plan'!$D27,D$3&lt;='Sprint Plan'!$E27),1,"")</f>
        <v/>
      </c>
      <c r="E27" s="16">
        <f>IF(AND(E$3&gt;='Sprint Plan'!$D27,E$3&lt;='Sprint Plan'!$E27),1,"")</f>
        <v/>
      </c>
      <c r="F27" s="16">
        <f>IF(AND(F$3&gt;='Sprint Plan'!$D27,F$3&lt;='Sprint Plan'!$E27),1,"")</f>
        <v/>
      </c>
      <c r="G27" s="16">
        <f>IF(AND(G$3&gt;='Sprint Plan'!$D27,G$3&lt;='Sprint Plan'!$E27),1,"")</f>
        <v/>
      </c>
      <c r="H27" s="16">
        <f>IF(AND(H$3&gt;='Sprint Plan'!$D27,H$3&lt;='Sprint Plan'!$E27),1,"")</f>
        <v/>
      </c>
      <c r="I27" s="16">
        <f>IF(AND(I$3&gt;='Sprint Plan'!$D27,I$3&lt;='Sprint Plan'!$E27),1,"")</f>
        <v/>
      </c>
      <c r="J27" s="16">
        <f>IF(AND(J$3&gt;='Sprint Plan'!$D27,J$3&lt;='Sprint Plan'!$E27),1,"")</f>
        <v/>
      </c>
      <c r="K27" s="16">
        <f>IF(AND(K$3&gt;='Sprint Plan'!$D27,K$3&lt;='Sprint Plan'!$E27),1,"")</f>
        <v/>
      </c>
      <c r="L27" s="16">
        <f>IF(AND(L$3&gt;='Sprint Plan'!$D27,L$3&lt;='Sprint Plan'!$E27),1,"")</f>
        <v/>
      </c>
      <c r="M27" s="16">
        <f>IF(AND(M$3&gt;='Sprint Plan'!$D27,M$3&lt;='Sprint Plan'!$E27),1,"")</f>
        <v/>
      </c>
    </row>
    <row r="28">
      <c r="A28" s="8">
        <f>'Sprint Plan'!A28</f>
        <v/>
      </c>
      <c r="B28" s="8">
        <f>'Sprint Plan'!B28</f>
        <v/>
      </c>
      <c r="C28" s="8">
        <f>'Sprint Plan'!C28</f>
        <v/>
      </c>
      <c r="D28" s="16">
        <f>IF(AND(D$3&gt;='Sprint Plan'!$D28,D$3&lt;='Sprint Plan'!$E28),1,"")</f>
        <v/>
      </c>
      <c r="E28" s="16">
        <f>IF(AND(E$3&gt;='Sprint Plan'!$D28,E$3&lt;='Sprint Plan'!$E28),1,"")</f>
        <v/>
      </c>
      <c r="F28" s="16">
        <f>IF(AND(F$3&gt;='Sprint Plan'!$D28,F$3&lt;='Sprint Plan'!$E28),1,"")</f>
        <v/>
      </c>
      <c r="G28" s="16">
        <f>IF(AND(G$3&gt;='Sprint Plan'!$D28,G$3&lt;='Sprint Plan'!$E28),1,"")</f>
        <v/>
      </c>
      <c r="H28" s="16">
        <f>IF(AND(H$3&gt;='Sprint Plan'!$D28,H$3&lt;='Sprint Plan'!$E28),1,"")</f>
        <v/>
      </c>
      <c r="I28" s="16">
        <f>IF(AND(I$3&gt;='Sprint Plan'!$D28,I$3&lt;='Sprint Plan'!$E28),1,"")</f>
        <v/>
      </c>
      <c r="J28" s="16">
        <f>IF(AND(J$3&gt;='Sprint Plan'!$D28,J$3&lt;='Sprint Plan'!$E28),1,"")</f>
        <v/>
      </c>
      <c r="K28" s="16">
        <f>IF(AND(K$3&gt;='Sprint Plan'!$D28,K$3&lt;='Sprint Plan'!$E28),1,"")</f>
        <v/>
      </c>
      <c r="L28" s="16">
        <f>IF(AND(L$3&gt;='Sprint Plan'!$D28,L$3&lt;='Sprint Plan'!$E28),1,"")</f>
        <v/>
      </c>
      <c r="M28" s="16">
        <f>IF(AND(M$3&gt;='Sprint Plan'!$D28,M$3&lt;='Sprint Plan'!$E28),1,"")</f>
        <v/>
      </c>
    </row>
    <row r="29">
      <c r="A29" s="8">
        <f>'Sprint Plan'!A29</f>
        <v/>
      </c>
      <c r="B29" s="8">
        <f>'Sprint Plan'!B29</f>
        <v/>
      </c>
      <c r="C29" s="8">
        <f>'Sprint Plan'!C29</f>
        <v/>
      </c>
      <c r="D29" s="16">
        <f>IF(AND(D$3&gt;='Sprint Plan'!$D29,D$3&lt;='Sprint Plan'!$E29),1,"")</f>
        <v/>
      </c>
      <c r="E29" s="16">
        <f>IF(AND(E$3&gt;='Sprint Plan'!$D29,E$3&lt;='Sprint Plan'!$E29),1,"")</f>
        <v/>
      </c>
      <c r="F29" s="16">
        <f>IF(AND(F$3&gt;='Sprint Plan'!$D29,F$3&lt;='Sprint Plan'!$E29),1,"")</f>
        <v/>
      </c>
      <c r="G29" s="16">
        <f>IF(AND(G$3&gt;='Sprint Plan'!$D29,G$3&lt;='Sprint Plan'!$E29),1,"")</f>
        <v/>
      </c>
      <c r="H29" s="16">
        <f>IF(AND(H$3&gt;='Sprint Plan'!$D29,H$3&lt;='Sprint Plan'!$E29),1,"")</f>
        <v/>
      </c>
      <c r="I29" s="16">
        <f>IF(AND(I$3&gt;='Sprint Plan'!$D29,I$3&lt;='Sprint Plan'!$E29),1,"")</f>
        <v/>
      </c>
      <c r="J29" s="16">
        <f>IF(AND(J$3&gt;='Sprint Plan'!$D29,J$3&lt;='Sprint Plan'!$E29),1,"")</f>
        <v/>
      </c>
      <c r="K29" s="16">
        <f>IF(AND(K$3&gt;='Sprint Plan'!$D29,K$3&lt;='Sprint Plan'!$E29),1,"")</f>
        <v/>
      </c>
      <c r="L29" s="16">
        <f>IF(AND(L$3&gt;='Sprint Plan'!$D29,L$3&lt;='Sprint Plan'!$E29),1,"")</f>
        <v/>
      </c>
      <c r="M29" s="16">
        <f>IF(AND(M$3&gt;='Sprint Plan'!$D29,M$3&lt;='Sprint Plan'!$E29),1,"")</f>
        <v/>
      </c>
    </row>
    <row r="30">
      <c r="A30" s="8">
        <f>'Sprint Plan'!A30</f>
        <v/>
      </c>
      <c r="B30" s="8">
        <f>'Sprint Plan'!B30</f>
        <v/>
      </c>
      <c r="C30" s="8">
        <f>'Sprint Plan'!C30</f>
        <v/>
      </c>
      <c r="D30" s="16">
        <f>IF(AND(D$3&gt;='Sprint Plan'!$D30,D$3&lt;='Sprint Plan'!$E30),1,"")</f>
        <v/>
      </c>
      <c r="E30" s="16">
        <f>IF(AND(E$3&gt;='Sprint Plan'!$D30,E$3&lt;='Sprint Plan'!$E30),1,"")</f>
        <v/>
      </c>
      <c r="F30" s="16">
        <f>IF(AND(F$3&gt;='Sprint Plan'!$D30,F$3&lt;='Sprint Plan'!$E30),1,"")</f>
        <v/>
      </c>
      <c r="G30" s="16">
        <f>IF(AND(G$3&gt;='Sprint Plan'!$D30,G$3&lt;='Sprint Plan'!$E30),1,"")</f>
        <v/>
      </c>
      <c r="H30" s="16">
        <f>IF(AND(H$3&gt;='Sprint Plan'!$D30,H$3&lt;='Sprint Plan'!$E30),1,"")</f>
        <v/>
      </c>
      <c r="I30" s="16">
        <f>IF(AND(I$3&gt;='Sprint Plan'!$D30,I$3&lt;='Sprint Plan'!$E30),1,"")</f>
        <v/>
      </c>
      <c r="J30" s="16">
        <f>IF(AND(J$3&gt;='Sprint Plan'!$D30,J$3&lt;='Sprint Plan'!$E30),1,"")</f>
        <v/>
      </c>
      <c r="K30" s="16">
        <f>IF(AND(K$3&gt;='Sprint Plan'!$D30,K$3&lt;='Sprint Plan'!$E30),1,"")</f>
        <v/>
      </c>
      <c r="L30" s="16">
        <f>IF(AND(L$3&gt;='Sprint Plan'!$D30,L$3&lt;='Sprint Plan'!$E30),1,"")</f>
        <v/>
      </c>
      <c r="M30" s="16">
        <f>IF(AND(M$3&gt;='Sprint Plan'!$D30,M$3&lt;='Sprint Plan'!$E30),1,"")</f>
        <v/>
      </c>
    </row>
    <row r="31">
      <c r="A31" s="8">
        <f>'Sprint Plan'!A31</f>
        <v/>
      </c>
      <c r="B31" s="8">
        <f>'Sprint Plan'!B31</f>
        <v/>
      </c>
      <c r="C31" s="8">
        <f>'Sprint Plan'!C31</f>
        <v/>
      </c>
      <c r="D31" s="16">
        <f>IF(AND(D$3&gt;='Sprint Plan'!$D31,D$3&lt;='Sprint Plan'!$E31),1,"")</f>
        <v/>
      </c>
      <c r="E31" s="16">
        <f>IF(AND(E$3&gt;='Sprint Plan'!$D31,E$3&lt;='Sprint Plan'!$E31),1,"")</f>
        <v/>
      </c>
      <c r="F31" s="16">
        <f>IF(AND(F$3&gt;='Sprint Plan'!$D31,F$3&lt;='Sprint Plan'!$E31),1,"")</f>
        <v/>
      </c>
      <c r="G31" s="16">
        <f>IF(AND(G$3&gt;='Sprint Plan'!$D31,G$3&lt;='Sprint Plan'!$E31),1,"")</f>
        <v/>
      </c>
      <c r="H31" s="16">
        <f>IF(AND(H$3&gt;='Sprint Plan'!$D31,H$3&lt;='Sprint Plan'!$E31),1,"")</f>
        <v/>
      </c>
      <c r="I31" s="16">
        <f>IF(AND(I$3&gt;='Sprint Plan'!$D31,I$3&lt;='Sprint Plan'!$E31),1,"")</f>
        <v/>
      </c>
      <c r="J31" s="16">
        <f>IF(AND(J$3&gt;='Sprint Plan'!$D31,J$3&lt;='Sprint Plan'!$E31),1,"")</f>
        <v/>
      </c>
      <c r="K31" s="16">
        <f>IF(AND(K$3&gt;='Sprint Plan'!$D31,K$3&lt;='Sprint Plan'!$E31),1,"")</f>
        <v/>
      </c>
      <c r="L31" s="16">
        <f>IF(AND(L$3&gt;='Sprint Plan'!$D31,L$3&lt;='Sprint Plan'!$E31),1,"")</f>
        <v/>
      </c>
      <c r="M31" s="16">
        <f>IF(AND(M$3&gt;='Sprint Plan'!$D31,M$3&lt;='Sprint Plan'!$E31),1,"")</f>
        <v/>
      </c>
    </row>
    <row r="32">
      <c r="A32" s="8">
        <f>'Sprint Plan'!A32</f>
        <v/>
      </c>
      <c r="B32" s="8">
        <f>'Sprint Plan'!B32</f>
        <v/>
      </c>
      <c r="C32" s="8">
        <f>'Sprint Plan'!C32</f>
        <v/>
      </c>
      <c r="D32" s="16">
        <f>IF(AND(D$3&gt;='Sprint Plan'!$D32,D$3&lt;='Sprint Plan'!$E32),1,"")</f>
        <v/>
      </c>
      <c r="E32" s="16">
        <f>IF(AND(E$3&gt;='Sprint Plan'!$D32,E$3&lt;='Sprint Plan'!$E32),1,"")</f>
        <v/>
      </c>
      <c r="F32" s="16">
        <f>IF(AND(F$3&gt;='Sprint Plan'!$D32,F$3&lt;='Sprint Plan'!$E32),1,"")</f>
        <v/>
      </c>
      <c r="G32" s="16">
        <f>IF(AND(G$3&gt;='Sprint Plan'!$D32,G$3&lt;='Sprint Plan'!$E32),1,"")</f>
        <v/>
      </c>
      <c r="H32" s="16">
        <f>IF(AND(H$3&gt;='Sprint Plan'!$D32,H$3&lt;='Sprint Plan'!$E32),1,"")</f>
        <v/>
      </c>
      <c r="I32" s="16">
        <f>IF(AND(I$3&gt;='Sprint Plan'!$D32,I$3&lt;='Sprint Plan'!$E32),1,"")</f>
        <v/>
      </c>
      <c r="J32" s="16">
        <f>IF(AND(J$3&gt;='Sprint Plan'!$D32,J$3&lt;='Sprint Plan'!$E32),1,"")</f>
        <v/>
      </c>
      <c r="K32" s="16">
        <f>IF(AND(K$3&gt;='Sprint Plan'!$D32,K$3&lt;='Sprint Plan'!$E32),1,"")</f>
        <v/>
      </c>
      <c r="L32" s="16">
        <f>IF(AND(L$3&gt;='Sprint Plan'!$D32,L$3&lt;='Sprint Plan'!$E32),1,"")</f>
        <v/>
      </c>
      <c r="M32" s="16">
        <f>IF(AND(M$3&gt;='Sprint Plan'!$D32,M$3&lt;='Sprint Plan'!$E32),1,"")</f>
        <v/>
      </c>
    </row>
  </sheetData>
  <conditionalFormatting sqref="D4:M32">
    <cfRule type="expression" priority="1" dxfId="0" stopIfTrue="1">
      <formula>AND(D4=1,LEFT($A4,1)="M")</formula>
    </cfRule>
    <cfRule type="expression" priority="2" dxfId="1">
      <formula>D4=1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2026-10-04T17:41:55Z</dcterms:created>
  <dcterms:modified xsi:type="dcterms:W3CDTF">2026-10-04T17:41:55Z</dcterms:modified>
</cp:coreProperties>
</file>