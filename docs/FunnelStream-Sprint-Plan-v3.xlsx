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9"/>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Sunday 11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G1 Spark tests 10 of 10 again after SPD (10 Oct)</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 10 Oct: heartbeat rule added (ALR)</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SPD</t>
        </is>
      </c>
      <c r="B36" s="4" t="inlineStr">
        <is>
          <t>Silver and live sink speed-up: concurrent MERGEs, concurrent sink compute, job-group inheritance</t>
        </is>
      </c>
      <c r="C36" s="3" t="inlineStr">
        <is>
          <t>Member 2</t>
        </is>
      </c>
      <c r="D36" s="17" t="n">
        <v>46305</v>
      </c>
      <c r="E36" s="17" t="n">
        <v>46305</v>
      </c>
      <c r="F36" s="3">
        <f>E36-D36+1</f>
        <v/>
      </c>
      <c r="G36" s="6" t="n">
        <v>6</v>
      </c>
      <c r="H36" s="3" t="inlineStr">
        <is>
          <t>T8, G1</t>
        </is>
      </c>
      <c r="I36" s="3" t="inlineStr">
        <is>
          <t>Build</t>
        </is>
      </c>
      <c r="J36" s="4" t="inlineStr">
        <is>
          <t>Batch plus sink about 50-70 s to about 22 s; committed 35c7f64; expert review done</t>
        </is>
      </c>
      <c r="K36" s="6" t="inlineStr">
        <is>
          <t>Done</t>
        </is>
      </c>
    </row>
    <row r="37">
      <c r="A37" s="3" t="inlineStr">
        <is>
          <t>ALR</t>
        </is>
      </c>
      <c r="B37" s="4" t="inlineStr">
        <is>
          <t>Alert redesign: heartbeat rule (2 min), no-events widened to 5 min</t>
        </is>
      </c>
      <c r="C37" s="3" t="inlineStr">
        <is>
          <t>Member 5</t>
        </is>
      </c>
      <c r="D37" s="17" t="n">
        <v>46305</v>
      </c>
      <c r="E37" s="17" t="n">
        <v>46305</v>
      </c>
      <c r="F37" s="3">
        <f>E37-D37+1</f>
        <v/>
      </c>
      <c r="G37" s="6" t="n">
        <v>3</v>
      </c>
      <c r="H37" s="3" t="inlineStr">
        <is>
          <t>G2</t>
        </is>
      </c>
      <c r="I37" s="3" t="inlineStr">
        <is>
          <t>Build</t>
        </is>
      </c>
      <c r="J37" s="4" t="inlineStr">
        <is>
          <t>4 rules provisioned; the old 2-minute rule could not stay quiet at a 60 s batch cycle</t>
        </is>
      </c>
      <c r="K37" s="6" t="inlineStr">
        <is>
          <t>Done</t>
        </is>
      </c>
    </row>
    <row r="38">
      <c r="A38" s="3" t="inlineStr">
        <is>
          <t>G3</t>
        </is>
      </c>
      <c r="B38" s="4" t="inlineStr">
        <is>
          <t>Failure demo with Grafana: kill Silver, alert, restart, no duplicates</t>
        </is>
      </c>
      <c r="C38" s="3" t="inlineStr">
        <is>
          <t>Member 5</t>
        </is>
      </c>
      <c r="D38" s="17" t="n">
        <v>46307</v>
      </c>
      <c r="E38" s="17" t="n">
        <v>46307</v>
      </c>
      <c r="F38" s="3">
        <f>E38-D38+1</f>
        <v/>
      </c>
      <c r="G38" s="6" t="n">
        <v>4</v>
      </c>
      <c r="H38" s="3" t="inlineStr">
        <is>
          <t>G2, T16, ALR, SPD</t>
        </is>
      </c>
      <c r="I38" s="3" t="inlineStr">
        <is>
          <t>Build</t>
        </is>
      </c>
      <c r="J38" s="4" t="inlineStr">
        <is>
          <t>Parked 10 Oct: two attempts ended when the Docker WSL VM restarted. Code, speed and alerts are done. Not retried on 11 Oct (RAM 2 to 4 GB free here); fallback: a recorded run plus the Spark replay tests</t>
        </is>
      </c>
      <c r="K38" s="6" t="inlineStr">
        <is>
          <t>To do</t>
        </is>
      </c>
    </row>
    <row r="39">
      <c r="A39" s="3" t="inlineStr">
        <is>
          <t>T17</t>
        </is>
      </c>
      <c r="B39" s="4" t="inlineStr">
        <is>
          <t>Samples, benchmark, README</t>
        </is>
      </c>
      <c r="C39" s="3" t="inlineStr">
        <is>
          <t>Member 5</t>
        </is>
      </c>
      <c r="D39" s="17" t="n">
        <v>46306</v>
      </c>
      <c r="E39" s="17" t="n">
        <v>46306</v>
      </c>
      <c r="F39" s="3">
        <f>E39-D39+1</f>
        <v/>
      </c>
      <c r="G39" s="6" t="n">
        <v>6</v>
      </c>
      <c r="H39" s="3" t="inlineStr">
        <is>
          <t>T8, T10c, SPD</t>
        </is>
      </c>
      <c r="I39" s="3" t="inlineStr">
        <is>
          <t>Build</t>
        </is>
      </c>
      <c r="J39" s="4" t="inlineStr">
        <is>
          <t>Samples and README done and verified. Benchmark recorded 11 Oct in docs/benchmark.md: 400,000 events (409,133 Kafka messages) in 388.6 s through all eight stages, 64 checks run and 0 failed. The 1 to 2 million event run was not attempted on this PC (Spark container capped at 4 GB, about 2 GB RAM and 11 GB disk free)</t>
        </is>
      </c>
      <c r="K39" s="6" t="inlineStr">
        <is>
          <t>Done</t>
        </is>
      </c>
    </row>
    <row r="40">
      <c r="A40" s="3" t="inlineStr">
        <is>
          <t>T18</t>
        </is>
      </c>
      <c r="B40" s="4" t="inlineStr">
        <is>
          <t>Power BI model and pages (Campaign and Funnel first)</t>
        </is>
      </c>
      <c r="C40" s="3" t="inlineStr">
        <is>
          <t>Member 1</t>
        </is>
      </c>
      <c r="D40" s="17" t="n">
        <v>46306</v>
      </c>
      <c r="E40" s="17" t="n">
        <v>46307</v>
      </c>
      <c r="F40" s="3">
        <f>E40-D40+1</f>
        <v/>
      </c>
      <c r="G40" s="6" t="n">
        <v>10</v>
      </c>
      <c r="H40" s="3" t="inlineStr">
        <is>
          <t>T10c, T12</t>
        </is>
      </c>
      <c r="I40" s="3" t="inlineStr">
        <is>
          <t>Build</t>
        </is>
      </c>
      <c r="J40" s="4" t="inlineStr">
        <is>
          <t>Generator extended 11 Oct to the full version 2 model: 15 tables (7 Gold, 7 Postgres marts, measures), 22 relationships, 84 measures, 5 page shells; both schema errors Power BI Desktop reported are fixed and scripts/validate_pbip.py checks every JSON file. Still to do by hand in Power BI Desktop: sign in, Refresh, build the visuals</t>
        </is>
      </c>
      <c r="K40" s="6" t="inlineStr">
        <is>
          <t>To do</t>
        </is>
      </c>
    </row>
    <row r="41">
      <c r="A41" s="3" t="inlineStr">
        <is>
          <t>T19</t>
        </is>
      </c>
      <c r="B41" s="4" t="inlineStr">
        <is>
          <t>Customer 360 table and page (STRETCH)</t>
        </is>
      </c>
      <c r="C41" s="3" t="inlineStr">
        <is>
          <t>Member 4</t>
        </is>
      </c>
      <c r="D41" s="17" t="n">
        <v>46307</v>
      </c>
      <c r="E41" s="17" t="n">
        <v>46307</v>
      </c>
      <c r="F41" s="3">
        <f>E41-D41+1</f>
        <v/>
      </c>
      <c r="G41" s="6" t="n">
        <v>4</v>
      </c>
      <c r="H41" s="3" t="inlineStr">
        <is>
          <t>T13</t>
        </is>
      </c>
      <c r="I41" s="3" t="inlineStr">
        <is>
          <t>Stretch</t>
        </is>
      </c>
      <c r="J41" s="4" t="inlineStr">
        <is>
          <t>Cut first if late</t>
        </is>
      </c>
      <c r="K41" s="6" t="inlineStr">
        <is>
          <t>To do</t>
        </is>
      </c>
    </row>
    <row r="42">
      <c r="A42" s="3" t="inlineStr">
        <is>
          <t>INV0</t>
        </is>
      </c>
      <c r="B42" s="4" t="inlineStr">
        <is>
          <t>Spec: live inventory for operations and D-1 marketing</t>
        </is>
      </c>
      <c r="C42" s="3" t="inlineStr">
        <is>
          <t>Member 5</t>
        </is>
      </c>
      <c r="D42" s="17" t="n">
        <v>46305</v>
      </c>
      <c r="E42" s="17" t="n">
        <v>46305</v>
      </c>
      <c r="F42" s="3">
        <f>E42-D42+1</f>
        <v/>
      </c>
      <c r="G42" s="6" t="n">
        <v>3</v>
      </c>
      <c r="H42" s="3" t="inlineStr">
        <is>
          <t>G2</t>
        </is>
      </c>
      <c r="I42" s="3" t="inlineStr">
        <is>
          <t>Build</t>
        </is>
      </c>
      <c r="J42" s="4" t="inlineStr">
        <is>
          <t>Spec approved; sections 1 to 13 incl. Power BI, daily Grafana insights and the 20-minute express promise</t>
        </is>
      </c>
      <c r="K42" s="6" t="inlineStr">
        <is>
          <t>Done</t>
        </is>
      </c>
    </row>
    <row r="43">
      <c r="A43" s="3" t="inlineStr">
        <is>
          <t>INV1</t>
        </is>
      </c>
      <c r="B43" s="4" t="inlineStr">
        <is>
          <t>Inventory contract: stock events, validator, transform, topic</t>
        </is>
      </c>
      <c r="C43" s="3" t="inlineStr">
        <is>
          <t>Member 2</t>
        </is>
      </c>
      <c r="D43" s="17" t="n">
        <v>46305</v>
      </c>
      <c r="E43" s="17" t="n">
        <v>46305</v>
      </c>
      <c r="F43" s="3">
        <f>E43-D43+1</f>
        <v/>
      </c>
      <c r="G43" s="6" t="n">
        <v>3</v>
      </c>
      <c r="H43" s="3" t="inlineStr">
        <is>
          <t>INV0, T2</t>
        </is>
      </c>
      <c r="I43" s="3" t="inlineStr">
        <is>
          <t>Build</t>
        </is>
      </c>
      <c r="J43" s="4" t="inlineStr">
        <is>
          <t>Standard envelope with payload; explicit stock branch; committed e97d2a5. Verified 11 Oct on a clean run: Bronze and Silver take the stock topic</t>
        </is>
      </c>
      <c r="K43" s="6" t="inlineStr">
        <is>
          <t>Done</t>
        </is>
      </c>
    </row>
    <row r="44">
      <c r="A44" s="3" t="inlineStr">
        <is>
          <t>INV2</t>
        </is>
      </c>
      <c r="B44" s="4" t="inlineStr">
        <is>
          <t>Simulator stock ledger and hero stock-out scenario</t>
        </is>
      </c>
      <c r="C44" s="3" t="inlineStr">
        <is>
          <t>Member 1</t>
        </is>
      </c>
      <c r="D44" s="17" t="n">
        <v>46305</v>
      </c>
      <c r="E44" s="17" t="n">
        <v>46305</v>
      </c>
      <c r="F44" s="3">
        <f>E44-D44+1</f>
        <v/>
      </c>
      <c r="G44" s="6" t="n">
        <v>6</v>
      </c>
      <c r="H44" s="3" t="inlineStr">
        <is>
          <t>INV1</t>
        </is>
      </c>
      <c r="I44" s="3" t="inlineStr">
        <is>
          <t>Build</t>
        </is>
      </c>
      <c r="J44" s="4" t="inlineStr">
        <is>
          <t>Seeded, never negative, 8 stores, oversold lines recorded; committed e97d2a5. Verified 11 Oct on a clean run: hero stock-out reached with --hero-units 4 (12 units was too many for 3,000 events)</t>
        </is>
      </c>
      <c r="K44" s="6" t="inlineStr">
        <is>
          <t>Done</t>
        </is>
      </c>
    </row>
    <row r="45">
      <c r="A45" s="3" t="inlineStr">
        <is>
          <t>INV3</t>
        </is>
      </c>
      <c r="B45" s="4" t="inlineStr">
        <is>
          <t>Bronze and Silver stock tables, DDL, count-pinned tests</t>
        </is>
      </c>
      <c r="C45" s="3" t="inlineStr">
        <is>
          <t>Member 2</t>
        </is>
      </c>
      <c r="D45" s="17" t="n">
        <v>46305</v>
      </c>
      <c r="E45" s="17" t="n">
        <v>46305</v>
      </c>
      <c r="F45" s="3">
        <f>E45-D45+1</f>
        <v/>
      </c>
      <c r="G45" s="6" t="n">
        <v>5</v>
      </c>
      <c r="H45" s="3" t="inlineStr">
        <is>
          <t>INV1, SPD</t>
        </is>
      </c>
      <c r="I45" s="3" t="inlineStr">
        <is>
          <t>Build</t>
        </is>
      </c>
      <c r="J45" s="4" t="inlineStr">
        <is>
          <t>Silver stock tables, DDL, routing; committed e97d2a5. Verified 11 Oct on a clean run: silver_stock_* filled from the 10 Oct batches</t>
        </is>
      </c>
      <c r="K45" s="6" t="inlineStr">
        <is>
          <t>Done</t>
        </is>
      </c>
    </row>
    <row r="46">
      <c r="A46" s="3" t="inlineStr">
        <is>
          <t>INV4</t>
        </is>
      </c>
      <c r="B46" s="4" t="inlineStr">
        <is>
          <t>Live stock tables in Postgres and the sink recompute</t>
        </is>
      </c>
      <c r="C46" s="3" t="inlineStr">
        <is>
          <t>Member 3</t>
        </is>
      </c>
      <c r="D46" s="17" t="n">
        <v>46306</v>
      </c>
      <c r="E46" s="17" t="n">
        <v>46306</v>
      </c>
      <c r="F46" s="3">
        <f>E46-D46+1</f>
        <v/>
      </c>
      <c r="G46" s="6" t="n">
        <v>5</v>
      </c>
      <c r="H46" s="3" t="inlineStr">
        <is>
          <t>INV3, G1</t>
        </is>
      </c>
      <c r="I46" s="3" t="inlineStr">
        <is>
          <t>Build</t>
        </is>
      </c>
      <c r="J46" s="4" t="inlineStr">
        <is>
          <t>Committed b1dea57. Verified 11 Oct on a clean run: 15 live tables via apply_live_ddl.py, live_stock_now 1,552 rows, live_oos_demand_minute and live_express_orders filled</t>
        </is>
      </c>
      <c r="K46" s="6" t="inlineStr">
        <is>
          <t>Done</t>
        </is>
      </c>
    </row>
    <row r="47">
      <c r="A47" s="3" t="inlineStr">
        <is>
          <t>INV5</t>
        </is>
      </c>
      <c r="B47" s="4" t="inlineStr">
        <is>
          <t>Grafana: Operations live inventory dashboard and out-of-stock demand alert</t>
        </is>
      </c>
      <c r="C47" s="3" t="inlineStr">
        <is>
          <t>Member 5</t>
        </is>
      </c>
      <c r="D47" s="17" t="n">
        <v>46306</v>
      </c>
      <c r="E47" s="17" t="n">
        <v>46306</v>
      </c>
      <c r="F47" s="3">
        <f>E47-D47+1</f>
        <v/>
      </c>
      <c r="G47" s="6" t="n">
        <v>5</v>
      </c>
      <c r="H47" s="3" t="inlineStr">
        <is>
          <t>INV4</t>
        </is>
      </c>
      <c r="I47" s="3" t="inlineStr">
        <is>
          <t>Build</t>
        </is>
      </c>
      <c r="J47" s="4" t="inlineStr">
        <is>
          <t>Committed b1dea57. Verified 11 Oct on a clean run: all 12 panels of the Operations dashboard return data; fs-oos-demand not asserted on the simulated run</t>
        </is>
      </c>
      <c r="K47" s="6" t="inlineStr">
        <is>
          <t>Done</t>
        </is>
      </c>
    </row>
    <row r="48">
      <c r="A48" s="3" t="inlineStr">
        <is>
          <t>INV6</t>
        </is>
      </c>
      <c r="B48" s="4" t="inlineStr">
        <is>
          <t>Marketing D-1 mart in Postgres and Grafana page (estimated exposed spend)</t>
        </is>
      </c>
      <c r="C48" s="3" t="inlineStr">
        <is>
          <t>Member 4</t>
        </is>
      </c>
      <c r="D48" s="17" t="n">
        <v>46306</v>
      </c>
      <c r="E48" s="17" t="n">
        <v>46306</v>
      </c>
      <c r="F48" s="3">
        <f>E48-D48+1</f>
        <v/>
      </c>
      <c r="G48" s="6" t="n">
        <v>5</v>
      </c>
      <c r="H48" s="3" t="inlineStr">
        <is>
          <t>INV4, T12</t>
        </is>
      </c>
      <c r="I48" s="3" t="inlineStr">
        <is>
          <t>Stretch</t>
        </is>
      </c>
      <c r="J48" s="4" t="inlineStr">
        <is>
          <t>Committed b1dea57. D-1 mart built for 10 Oct (spend, ROAS, exposed spend, products at risk). The out-of-stock demand of 10 Oct is MOCK rows; 11 Oct needs its ad report first</t>
        </is>
      </c>
      <c r="K48" s="6" t="inlineStr">
        <is>
          <t>Done</t>
        </is>
      </c>
    </row>
    <row r="49">
      <c r="A49" s="3" t="inlineStr">
        <is>
          <t>INV7</t>
        </is>
      </c>
      <c r="B49" s="4" t="inlineStr">
        <is>
          <t>Daily inventory mart, Grafana inventory-insights page, Power BI tables</t>
        </is>
      </c>
      <c r="C49" s="3" t="inlineStr">
        <is>
          <t>Member 3</t>
        </is>
      </c>
      <c r="D49" s="17" t="n">
        <v>46306</v>
      </c>
      <c r="E49" s="17" t="n">
        <v>46306</v>
      </c>
      <c r="F49" s="3">
        <f>E49-D49+1</f>
        <v/>
      </c>
      <c r="G49" s="6" t="n">
        <v>6</v>
      </c>
      <c r="H49" s="3" t="inlineStr">
        <is>
          <t>INV4</t>
        </is>
      </c>
      <c r="I49" s="3" t="inlineStr">
        <is>
          <t>Build</t>
        </is>
      </c>
      <c r="J49" s="4" t="inlineStr">
        <is>
          <t>Committed b1dea57. Verified 11 Oct on a clean run: inventory_daily, oos_demand_daily, express_daily built; all 10 panels of the daily dashboard return data. Power BI tables not opened in Power BI Desktop</t>
        </is>
      </c>
      <c r="K49" s="6" t="inlineStr">
        <is>
          <t>Done</t>
        </is>
      </c>
    </row>
    <row r="50">
      <c r="A50" s="3" t="inlineStr">
        <is>
          <t>INV8a</t>
        </is>
      </c>
      <c r="B50" s="4" t="inlineStr">
        <is>
          <t>Express orders and the 20-minute promise: contract, Silver table, simulator</t>
        </is>
      </c>
      <c r="C50" s="3" t="inlineStr">
        <is>
          <t>Member 1</t>
        </is>
      </c>
      <c r="D50" s="17" t="n">
        <v>46306</v>
      </c>
      <c r="E50" s="17" t="n">
        <v>46306</v>
      </c>
      <c r="F50" s="3">
        <f>E50-D50+1</f>
        <v/>
      </c>
      <c r="G50" s="6" t="n">
        <v>4</v>
      </c>
      <c r="H50" s="3" t="inlineStr">
        <is>
          <t>INV2</t>
        </is>
      </c>
      <c r="I50" s="3" t="inlineStr">
        <is>
          <t>Build</t>
        </is>
      </c>
      <c r="J50" s="4" t="inlineStr">
        <is>
          <t>Committed b1dea57. Verified 11 Oct on a clean run: express orders flow to Silver and live_express_orders (all on time at the 20-minute promise)</t>
        </is>
      </c>
      <c r="K50" s="6" t="inlineStr">
        <is>
          <t>Done</t>
        </is>
      </c>
    </row>
    <row r="51">
      <c r="A51" s="3" t="inlineStr">
        <is>
          <t>INV8b</t>
        </is>
      </c>
      <c r="B51" s="4" t="inlineStr">
        <is>
          <t>Live express SLA table, Grafana panels and the any-breach alert</t>
        </is>
      </c>
      <c r="C51" s="3" t="inlineStr">
        <is>
          <t>Member 5</t>
        </is>
      </c>
      <c r="D51" s="17" t="n">
        <v>46306</v>
      </c>
      <c r="E51" s="17" t="n">
        <v>46306</v>
      </c>
      <c r="F51" s="3">
        <f>E51-D51+1</f>
        <v/>
      </c>
      <c r="G51" s="6" t="n">
        <v>4</v>
      </c>
      <c r="H51" s="3" t="inlineStr">
        <is>
          <t>INV4, INV8a</t>
        </is>
      </c>
      <c r="I51" s="3" t="inlineStr">
        <is>
          <t>Build</t>
        </is>
      </c>
      <c r="J51" s="4" t="inlineStr">
        <is>
          <t>Committed b1dea57. Express panels return data; the fs-express-sla breach path was not fired on this machine</t>
        </is>
      </c>
      <c r="K51" s="6" t="inlineStr">
        <is>
          <t>Done</t>
        </is>
      </c>
    </row>
    <row r="52">
      <c r="A52" s="3" t="inlineStr">
        <is>
          <t>DOC</t>
        </is>
      </c>
      <c r="B52" s="4" t="inlineStr">
        <is>
          <t>Refresh PDF, deck, README screenshots</t>
        </is>
      </c>
      <c r="C52" s="3" t="inlineStr">
        <is>
          <t>Member 5</t>
        </is>
      </c>
      <c r="D52" s="17" t="n">
        <v>46307</v>
      </c>
      <c r="E52" s="17" t="n">
        <v>46307</v>
      </c>
      <c r="F52" s="3">
        <f>E52-D52+1</f>
        <v/>
      </c>
      <c r="G52" s="6" t="n">
        <v>6</v>
      </c>
      <c r="H52" s="3" t="inlineStr">
        <is>
          <t>G3, T18</t>
        </is>
      </c>
      <c r="I52" s="3" t="inlineStr">
        <is>
          <t>Build</t>
        </is>
      </c>
      <c r="J52" s="4" t="inlineStr">
        <is>
          <t>Documents are still from 5 Oct; add the alert redesign and the inventory story</t>
        </is>
      </c>
      <c r="K52" s="6" t="inlineStr">
        <is>
          <t>To do</t>
        </is>
      </c>
    </row>
    <row r="53">
      <c r="A53" s="3" t="inlineStr">
        <is>
          <t>M1</t>
        </is>
      </c>
      <c r="B53" s="4" t="inlineStr">
        <is>
          <t>Integration: Kafka to Silver to Postgres/Grafana and Databricks Gold</t>
        </is>
      </c>
      <c r="C53" s="3" t="inlineStr">
        <is>
          <t>All</t>
        </is>
      </c>
      <c r="D53" s="17" t="n">
        <v>46303</v>
      </c>
      <c r="E53" s="17" t="n">
        <v>46303</v>
      </c>
      <c r="F53" s="3">
        <f>E53-D53+1</f>
        <v/>
      </c>
      <c r="G53" s="6" t="n">
        <v>0</v>
      </c>
      <c r="H53" s="3" t="inlineStr">
        <is>
          <t>T10c, G1</t>
        </is>
      </c>
      <c r="I53" s="3" t="inlineStr">
        <is>
          <t>Integration</t>
        </is>
      </c>
      <c r="J53" s="4" t="inlineStr">
        <is>
          <t>Verified live on 8 Oct</t>
        </is>
      </c>
      <c r="K53" s="6" t="inlineStr">
        <is>
          <t>Done</t>
        </is>
      </c>
    </row>
    <row r="54">
      <c r="A54" s="3" t="inlineStr">
        <is>
          <t>M2</t>
        </is>
      </c>
      <c r="B54" s="4" t="inlineStr">
        <is>
          <t>Failure demo, 1-2M run, benchmark recorded</t>
        </is>
      </c>
      <c r="C54" s="3" t="inlineStr">
        <is>
          <t>All</t>
        </is>
      </c>
      <c r="D54" s="17" t="n">
        <v>46307</v>
      </c>
      <c r="E54" s="17" t="n">
        <v>46307</v>
      </c>
      <c r="F54" s="3">
        <f>E54-D54+1</f>
        <v/>
      </c>
      <c r="G54" s="6" t="n">
        <v>0</v>
      </c>
      <c r="H54" s="3" t="inlineStr">
        <is>
          <t>G3, T17</t>
        </is>
      </c>
      <c r="I54" s="3" t="inlineStr">
        <is>
          <t>Integration</t>
        </is>
      </c>
      <c r="J54" s="4" t="inlineStr">
        <is>
          <t>Team session. Benchmark part done on 11 Oct (400,000 events, docs/benchmark.md); failure demo (G3) and the 1 to 2 million event run are still open</t>
        </is>
      </c>
      <c r="K54" s="6" t="inlineStr">
        <is>
          <t>To do</t>
        </is>
      </c>
    </row>
    <row r="55">
      <c r="A55" s="3" t="inlineStr">
        <is>
          <t>M3</t>
        </is>
      </c>
      <c r="B55" s="4" t="inlineStr">
        <is>
          <t>Rehearsal, final deck and PDF check</t>
        </is>
      </c>
      <c r="C55" s="3" t="inlineStr">
        <is>
          <t>All</t>
        </is>
      </c>
      <c r="D55" s="17" t="n">
        <v>46307</v>
      </c>
      <c r="E55" s="17" t="n">
        <v>46307</v>
      </c>
      <c r="F55" s="3">
        <f>E55-D55+1</f>
        <v/>
      </c>
      <c r="G55" s="6" t="n">
        <v>0</v>
      </c>
      <c r="H55" s="3" t="inlineStr">
        <is>
          <t>M2, DOC</t>
        </is>
      </c>
      <c r="I55" s="3" t="inlineStr">
        <is>
          <t>Milestone</t>
        </is>
      </c>
      <c r="J55" s="4" t="inlineStr">
        <is>
          <t>Share links from Share menu</t>
        </is>
      </c>
      <c r="K55" s="6" t="inlineStr">
        <is>
          <t>To do</t>
        </is>
      </c>
    </row>
    <row r="56">
      <c r="A56" s="3" t="inlineStr">
        <is>
          <t>M4</t>
        </is>
      </c>
      <c r="B56" s="4" t="inlineStr">
        <is>
          <t>Defense</t>
        </is>
      </c>
      <c r="C56" s="3" t="inlineStr">
        <is>
          <t>All</t>
        </is>
      </c>
      <c r="D56" s="17" t="n">
        <v>46308</v>
      </c>
      <c r="E56" s="17" t="n">
        <v>46308</v>
      </c>
      <c r="F56" s="3">
        <f>E56-D56+1</f>
        <v/>
      </c>
      <c r="G56" s="6" t="n">
        <v>0</v>
      </c>
      <c r="H56" s="3" t="inlineStr">
        <is>
          <t>M3</t>
        </is>
      </c>
      <c r="I56" s="3" t="inlineStr">
        <is>
          <t>Milestone</t>
        </is>
      </c>
      <c r="J56" s="4" t="n"/>
      <c r="K56" s="6" t="inlineStr">
        <is>
          <t>To do</t>
        </is>
      </c>
    </row>
    <row r="57"/>
    <row r="58">
      <c r="A58" s="7" t="inlineStr">
        <is>
          <t>Assumptions</t>
        </is>
      </c>
    </row>
    <row r="59">
      <c r="A59" s="8" t="inlineStr">
        <is>
          <t>1.</t>
        </is>
      </c>
      <c r="B59" s="8" t="inlineStr">
        <is>
          <t>Productive hours per member per day: 6 (blue input on Team Load sheet).</t>
        </is>
      </c>
    </row>
    <row r="60">
      <c r="A60" s="8" t="inlineStr">
        <is>
          <t>2.</t>
        </is>
      </c>
      <c r="B60" s="8" t="inlineStr">
        <is>
          <t>Hours are focused build time, not calendar time. Hours of Done tasks are the original estimates, not measured time. Integration and milestone rows (owner All) carry no hours and are excluded from Team Load.</t>
        </is>
      </c>
    </row>
    <row r="61">
      <c r="A61" s="8" t="inlineStr">
        <is>
          <t>3.</t>
        </is>
      </c>
      <c r="B61" s="8" t="inlineStr">
        <is>
          <t>Blue text = inputs you can change. Black = formulas.</t>
        </is>
      </c>
    </row>
    <row r="62">
      <c r="A62" s="8" t="inlineStr">
        <is>
          <t>4.</t>
        </is>
      </c>
      <c r="B62" s="8" t="inlineStr">
        <is>
          <t>T19 is stretch: drop it first. Cut order after that: rec_product and customer_360, the SQL checks beyond the five key ones, Power BI pages beyond Campaign and Funnel. Never cut: attribution (T13), campaign summaries (T12), Grafana (G2) and the failure demo (G3).</t>
        </is>
      </c>
    </row>
    <row r="63">
      <c r="A63" s="8" t="inlineStr">
        <is>
          <t>5.</t>
        </is>
      </c>
      <c r="B63" s="8" t="inlineStr">
        <is>
          <t>Spark runs in Docker (Python 3.11 and Java 17 are inside the image); the host needs Python 3.11 only. Status column is an input (blue): Done, In progress, To do.</t>
        </is>
      </c>
    </row>
    <row r="64">
      <c r="A64" s="8" t="inlineStr">
        <is>
          <t>6.</t>
        </is>
      </c>
      <c r="B64" s="8" t="inlineStr">
        <is>
          <t>T0 was a human step: Databricks workspace, SQL warehouse and token. The token stays in .env only.</t>
        </is>
      </c>
    </row>
    <row r="65">
      <c r="A65" s="8" t="inlineStr">
        <is>
          <t>7.</t>
        </is>
      </c>
      <c r="B65" s="8" t="inlineStr">
        <is>
          <t>Decision date 10 Oct: batch entry point is a Python script (T15). The Airflow DAG exists for the daily ad report only.</t>
        </is>
      </c>
    </row>
    <row r="66">
      <c r="A66" s="8" t="inlineStr">
        <is>
          <t>8.</t>
        </is>
      </c>
      <c r="B66" s="8" t="inlineStr">
        <is>
          <t>Tasks C1-C4, AD, D1, D2, DEMO, G1, G2 were added after the 4 Oct plan (external review, address and tracking URL, live monitoring).</t>
        </is>
      </c>
    </row>
    <row r="67">
      <c r="A67" s="8" t="inlineStr">
        <is>
          <t>9.</t>
        </is>
      </c>
      <c r="B67" s="8" t="inlineStr">
        <is>
          <t>10 Oct: rows SPD, ALR and INV0-INV6 were added after the speed measurements and the inventory spec. Hours of these rows are estimates and owners follow the area precedent; change them freely.</t>
        </is>
      </c>
    </row>
    <row r="68">
      <c r="A68" s="8" t="inlineStr">
        <is>
          <t>10.</t>
        </is>
      </c>
      <c r="B68" s="8" t="inlineStr">
        <is>
          <t>Inventory cut order: INV6 first, then the INV5 alert, then the INV5 dashboard polish. Keep INV1-INV4 and a basic dashboard. The inventory data is simulated and is labeled as simulated.</t>
        </is>
      </c>
    </row>
    <row r="69">
      <c r="A69" s="8" t="inlineStr">
        <is>
          <t>11.</t>
        </is>
      </c>
      <c r="B69" s="8" t="inlineStr">
        <is>
          <t>10 Oct late: the live-inventory section is an express service with a hard 20-minute promise; INV8a and INV8b add it. INV7 adds the daily marts for Grafana and Power BI. Hours are estimates; owners follow the area precedent.</t>
        </is>
      </c>
    </row>
    <row r="70">
      <c r="A70" s="8" t="inlineStr">
        <is>
          <t>12.</t>
        </is>
      </c>
      <c r="B70" s="8" t="inlineStr">
        <is>
          <t>11 Oct: INV1-INV8b marked Done after real runs of the whole chain on a second PC (simulator, Kafka, Bronze, Silver, Databricks publish and Gold with 63 checks, 15 live tables, 4 Grafana dashboards, the D-1 and daily marts). Not done: the Power BI visuals (T18), failure demo (G3), the 1 to 2 million event benchmark. The benchmark found and fixed two bugs: the simulator crashed when its manifest folder was missing, and the scratch Silver mirror tables kept rows of the previous run. Spark tests in Docker, 11 Oct: the first full run reached 568 passed, 0 failed, then 10 setup errors in test_gold_build_spark.py while the 4 GB container sat at its memory limit (3.9 GB used; no out-of-memory error was seen); that file alone passes (23 passed, 5 min 31 s). The test files sorted after it are run separately. The inventory, express and live-sink Spark tests passed.</t>
        </is>
      </c>
    </row>
    <row r="71"/>
    <row r="72"/>
    <row r="73"/>
    <row r="74"/>
    <row r="75"/>
    <row r="76"/>
    <row r="77"/>
    <row r="78"/>
    <row r="79"/>
    <row r="80"/>
    <row r="81"/>
    <row r="82"/>
    <row r="83"/>
    <row r="84"/>
    <row r="85"/>
    <row r="86"/>
    <row r="87"/>
    <row r="88"/>
    <row r="8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Plan'!$C$4:$C$56,A4)</f>
        <v/>
      </c>
      <c r="C4" s="12">
        <f>SUMIF('Sprint Plan'!$C$4:$C$56,A4,'Sprint Plan'!$G$4:$G$56)</f>
        <v/>
      </c>
      <c r="D4" s="12">
        <f>$I$2*$I$3</f>
        <v/>
      </c>
      <c r="E4" s="13">
        <f>C4/D4</f>
        <v/>
      </c>
      <c r="F4" s="12">
        <f>IF(E4&gt;1,"Over capacity",IF(E4&gt;0.8,"Tight","OK"))</f>
        <v/>
      </c>
    </row>
    <row r="5">
      <c r="A5" s="12" t="inlineStr">
        <is>
          <t>Member 2</t>
        </is>
      </c>
      <c r="B5" s="12">
        <f>COUNTIF('Sprint Plan'!$C$4:$C$56,A5)</f>
        <v/>
      </c>
      <c r="C5" s="12">
        <f>SUMIF('Sprint Plan'!$C$4:$C$56,A5,'Sprint Plan'!$G$4:$G$56)</f>
        <v/>
      </c>
      <c r="D5" s="12">
        <f>$I$2*$I$3</f>
        <v/>
      </c>
      <c r="E5" s="13">
        <f>C5/D5</f>
        <v/>
      </c>
      <c r="F5" s="12">
        <f>IF(E5&gt;1,"Over capacity",IF(E5&gt;0.8,"Tight","OK"))</f>
        <v/>
      </c>
      <c r="H5" s="8" t="inlineStr">
        <is>
          <t>Progress (all rows of Sprint Plan)</t>
        </is>
      </c>
    </row>
    <row r="6">
      <c r="A6" s="12" t="inlineStr">
        <is>
          <t>Member 3</t>
        </is>
      </c>
      <c r="B6" s="12">
        <f>COUNTIF('Sprint Plan'!$C$4:$C$56,A6)</f>
        <v/>
      </c>
      <c r="C6" s="12">
        <f>SUMIF('Sprint Plan'!$C$4:$C$56,A6,'Sprint Plan'!$G$4:$G$56)</f>
        <v/>
      </c>
      <c r="D6" s="12">
        <f>$I$2*$I$3</f>
        <v/>
      </c>
      <c r="E6" s="13">
        <f>C6/D6</f>
        <v/>
      </c>
      <c r="F6" s="12">
        <f>IF(E6&gt;1,"Over capacity",IF(E6&gt;0.8,"Tight","OK"))</f>
        <v/>
      </c>
      <c r="H6" s="8" t="inlineStr">
        <is>
          <t>Tasks Done</t>
        </is>
      </c>
      <c r="I6" s="18">
        <f>COUNTIF('Sprint Plan'!$K$4:$K$56,"Done")</f>
        <v/>
      </c>
    </row>
    <row r="7">
      <c r="A7" s="12" t="inlineStr">
        <is>
          <t>Member 4</t>
        </is>
      </c>
      <c r="B7" s="12">
        <f>COUNTIF('Sprint Plan'!$C$4:$C$56,A7)</f>
        <v/>
      </c>
      <c r="C7" s="12">
        <f>SUMIF('Sprint Plan'!$C$4:$C$56,A7,'Sprint Plan'!$G$4:$G$56)</f>
        <v/>
      </c>
      <c r="D7" s="12">
        <f>$I$2*$I$3</f>
        <v/>
      </c>
      <c r="E7" s="13">
        <f>C7/D7</f>
        <v/>
      </c>
      <c r="F7" s="12">
        <f>IF(E7&gt;1,"Over capacity",IF(E7&gt;0.8,"Tight","OK"))</f>
        <v/>
      </c>
      <c r="H7" s="8" t="inlineStr">
        <is>
          <t>Tasks In progress</t>
        </is>
      </c>
      <c r="I7" s="18">
        <f>COUNTIF('Sprint Plan'!$K$4:$K$56,"In progress")</f>
        <v/>
      </c>
    </row>
    <row r="8">
      <c r="A8" s="12" t="inlineStr">
        <is>
          <t>Member 5</t>
        </is>
      </c>
      <c r="B8" s="12">
        <f>COUNTIF('Sprint Plan'!$C$4:$C$56,A8)</f>
        <v/>
      </c>
      <c r="C8" s="12">
        <f>SUMIF('Sprint Plan'!$C$4:$C$56,A8,'Sprint Plan'!$G$4:$G$56)</f>
        <v/>
      </c>
      <c r="D8" s="12">
        <f>$I$2*$I$3</f>
        <v/>
      </c>
      <c r="E8" s="13">
        <f>C8/D8</f>
        <v/>
      </c>
      <c r="F8" s="12">
        <f>IF(E8&gt;1,"Over capacity",IF(E8&gt;0.8,"Tight","OK"))</f>
        <v/>
      </c>
      <c r="H8" s="8" t="inlineStr">
        <is>
          <t>Tasks To do</t>
        </is>
      </c>
      <c r="I8" s="18">
        <f>COUNTIF('Sprint Plan'!$K$4:$K$56,"To do")</f>
        <v/>
      </c>
    </row>
    <row r="9">
      <c r="A9" s="7" t="inlineStr">
        <is>
          <t>Team total</t>
        </is>
      </c>
      <c r="B9" s="14">
        <f>SUM(B4:B8)</f>
        <v/>
      </c>
      <c r="C9" s="14">
        <f>SUM(C4:C8)</f>
        <v/>
      </c>
      <c r="H9" s="8" t="inlineStr">
        <is>
          <t>Hours Done</t>
        </is>
      </c>
      <c r="I9" s="18">
        <f>SUMIF('Sprint Plan'!$K$4:$K$56,"Done",'Sprint Plan'!$G$4:$G$56)</f>
        <v/>
      </c>
    </row>
    <row r="10">
      <c r="H10" s="8" t="inlineStr">
        <is>
          <t>Hours total</t>
        </is>
      </c>
      <c r="I10" s="18">
        <f>SUM('Sprint Plan'!$G$4:$G$56)</f>
        <v/>
      </c>
    </row>
    <row r="11">
      <c r="H11" s="8" t="inlineStr">
        <is>
          <t>Hours Done %</t>
        </is>
      </c>
      <c r="I11" s="19">
        <f>I9/I10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6"/>
  <sheetViews>
    <sheetView workbookViewId="0">
      <pane xSplit="3" ySplit="3" topLeftCell="D4"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c r="A45" s="8">
        <f>'Sprint Plan'!A45</f>
        <v/>
      </c>
      <c r="B45" s="8">
        <f>'Sprint Plan'!B45</f>
        <v/>
      </c>
      <c r="C45" s="8">
        <f>'Sprint Plan'!C45</f>
        <v/>
      </c>
      <c r="D45" s="21">
        <f>IF(AND(D$3&gt;='Sprint Plan'!$D45,D$3&lt;='Sprint Plan'!$E45),1,"")</f>
        <v/>
      </c>
      <c r="E45" s="21">
        <f>IF(AND(E$3&gt;='Sprint Plan'!$D45,E$3&lt;='Sprint Plan'!$E45),1,"")</f>
        <v/>
      </c>
      <c r="F45" s="21">
        <f>IF(AND(F$3&gt;='Sprint Plan'!$D45,F$3&lt;='Sprint Plan'!$E45),1,"")</f>
        <v/>
      </c>
      <c r="G45" s="21">
        <f>IF(AND(G$3&gt;='Sprint Plan'!$D45,G$3&lt;='Sprint Plan'!$E45),1,"")</f>
        <v/>
      </c>
      <c r="H45" s="21">
        <f>IF(AND(H$3&gt;='Sprint Plan'!$D45,H$3&lt;='Sprint Plan'!$E45),1,"")</f>
        <v/>
      </c>
      <c r="I45" s="21">
        <f>IF(AND(I$3&gt;='Sprint Plan'!$D45,I$3&lt;='Sprint Plan'!$E45),1,"")</f>
        <v/>
      </c>
      <c r="J45" s="21">
        <f>IF(AND(J$3&gt;='Sprint Plan'!$D45,J$3&lt;='Sprint Plan'!$E45),1,"")</f>
        <v/>
      </c>
      <c r="K45" s="21">
        <f>IF(AND(K$3&gt;='Sprint Plan'!$D45,K$3&lt;='Sprint Plan'!$E45),1,"")</f>
        <v/>
      </c>
      <c r="L45" s="21">
        <f>IF(AND(L$3&gt;='Sprint Plan'!$D45,L$3&lt;='Sprint Plan'!$E45),1,"")</f>
        <v/>
      </c>
      <c r="M45" s="21">
        <f>IF(AND(M$3&gt;='Sprint Plan'!$D45,M$3&lt;='Sprint Plan'!$E45),1,"")</f>
        <v/>
      </c>
    </row>
    <row r="46">
      <c r="A46" s="8">
        <f>'Sprint Plan'!A46</f>
        <v/>
      </c>
      <c r="B46" s="8">
        <f>'Sprint Plan'!B46</f>
        <v/>
      </c>
      <c r="C46" s="8">
        <f>'Sprint Plan'!C46</f>
        <v/>
      </c>
      <c r="D46" s="21">
        <f>IF(AND(D$3&gt;='Sprint Plan'!$D46,D$3&lt;='Sprint Plan'!$E46),1,"")</f>
        <v/>
      </c>
      <c r="E46" s="21">
        <f>IF(AND(E$3&gt;='Sprint Plan'!$D46,E$3&lt;='Sprint Plan'!$E46),1,"")</f>
        <v/>
      </c>
      <c r="F46" s="21">
        <f>IF(AND(F$3&gt;='Sprint Plan'!$D46,F$3&lt;='Sprint Plan'!$E46),1,"")</f>
        <v/>
      </c>
      <c r="G46" s="21">
        <f>IF(AND(G$3&gt;='Sprint Plan'!$D46,G$3&lt;='Sprint Plan'!$E46),1,"")</f>
        <v/>
      </c>
      <c r="H46" s="21">
        <f>IF(AND(H$3&gt;='Sprint Plan'!$D46,H$3&lt;='Sprint Plan'!$E46),1,"")</f>
        <v/>
      </c>
      <c r="I46" s="21">
        <f>IF(AND(I$3&gt;='Sprint Plan'!$D46,I$3&lt;='Sprint Plan'!$E46),1,"")</f>
        <v/>
      </c>
      <c r="J46" s="21">
        <f>IF(AND(J$3&gt;='Sprint Plan'!$D46,J$3&lt;='Sprint Plan'!$E46),1,"")</f>
        <v/>
      </c>
      <c r="K46" s="21">
        <f>IF(AND(K$3&gt;='Sprint Plan'!$D46,K$3&lt;='Sprint Plan'!$E46),1,"")</f>
        <v/>
      </c>
      <c r="L46" s="21">
        <f>IF(AND(L$3&gt;='Sprint Plan'!$D46,L$3&lt;='Sprint Plan'!$E46),1,"")</f>
        <v/>
      </c>
      <c r="M46" s="21">
        <f>IF(AND(M$3&gt;='Sprint Plan'!$D46,M$3&lt;='Sprint Plan'!$E46),1,"")</f>
        <v/>
      </c>
    </row>
    <row r="47">
      <c r="A47" s="8">
        <f>'Sprint Plan'!A47</f>
        <v/>
      </c>
      <c r="B47" s="8">
        <f>'Sprint Plan'!B47</f>
        <v/>
      </c>
      <c r="C47" s="8">
        <f>'Sprint Plan'!C47</f>
        <v/>
      </c>
      <c r="D47" s="21">
        <f>IF(AND(D$3&gt;='Sprint Plan'!$D47,D$3&lt;='Sprint Plan'!$E47),1,"")</f>
        <v/>
      </c>
      <c r="E47" s="21">
        <f>IF(AND(E$3&gt;='Sprint Plan'!$D47,E$3&lt;='Sprint Plan'!$E47),1,"")</f>
        <v/>
      </c>
      <c r="F47" s="21">
        <f>IF(AND(F$3&gt;='Sprint Plan'!$D47,F$3&lt;='Sprint Plan'!$E47),1,"")</f>
        <v/>
      </c>
      <c r="G47" s="21">
        <f>IF(AND(G$3&gt;='Sprint Plan'!$D47,G$3&lt;='Sprint Plan'!$E47),1,"")</f>
        <v/>
      </c>
      <c r="H47" s="21">
        <f>IF(AND(H$3&gt;='Sprint Plan'!$D47,H$3&lt;='Sprint Plan'!$E47),1,"")</f>
        <v/>
      </c>
      <c r="I47" s="21">
        <f>IF(AND(I$3&gt;='Sprint Plan'!$D47,I$3&lt;='Sprint Plan'!$E47),1,"")</f>
        <v/>
      </c>
      <c r="J47" s="21">
        <f>IF(AND(J$3&gt;='Sprint Plan'!$D47,J$3&lt;='Sprint Plan'!$E47),1,"")</f>
        <v/>
      </c>
      <c r="K47" s="21">
        <f>IF(AND(K$3&gt;='Sprint Plan'!$D47,K$3&lt;='Sprint Plan'!$E47),1,"")</f>
        <v/>
      </c>
      <c r="L47" s="21">
        <f>IF(AND(L$3&gt;='Sprint Plan'!$D47,L$3&lt;='Sprint Plan'!$E47),1,"")</f>
        <v/>
      </c>
      <c r="M47" s="21">
        <f>IF(AND(M$3&gt;='Sprint Plan'!$D47,M$3&lt;='Sprint Plan'!$E47),1,"")</f>
        <v/>
      </c>
    </row>
    <row r="48">
      <c r="A48" s="8">
        <f>'Sprint Plan'!A48</f>
        <v/>
      </c>
      <c r="B48" s="8">
        <f>'Sprint Plan'!B48</f>
        <v/>
      </c>
      <c r="C48" s="8">
        <f>'Sprint Plan'!C48</f>
        <v/>
      </c>
      <c r="D48" s="21">
        <f>IF(AND(D$3&gt;='Sprint Plan'!$D48,D$3&lt;='Sprint Plan'!$E48),1,"")</f>
        <v/>
      </c>
      <c r="E48" s="21">
        <f>IF(AND(E$3&gt;='Sprint Plan'!$D48,E$3&lt;='Sprint Plan'!$E48),1,"")</f>
        <v/>
      </c>
      <c r="F48" s="21">
        <f>IF(AND(F$3&gt;='Sprint Plan'!$D48,F$3&lt;='Sprint Plan'!$E48),1,"")</f>
        <v/>
      </c>
      <c r="G48" s="21">
        <f>IF(AND(G$3&gt;='Sprint Plan'!$D48,G$3&lt;='Sprint Plan'!$E48),1,"")</f>
        <v/>
      </c>
      <c r="H48" s="21">
        <f>IF(AND(H$3&gt;='Sprint Plan'!$D48,H$3&lt;='Sprint Plan'!$E48),1,"")</f>
        <v/>
      </c>
      <c r="I48" s="21">
        <f>IF(AND(I$3&gt;='Sprint Plan'!$D48,I$3&lt;='Sprint Plan'!$E48),1,"")</f>
        <v/>
      </c>
      <c r="J48" s="21">
        <f>IF(AND(J$3&gt;='Sprint Plan'!$D48,J$3&lt;='Sprint Plan'!$E48),1,"")</f>
        <v/>
      </c>
      <c r="K48" s="21">
        <f>IF(AND(K$3&gt;='Sprint Plan'!$D48,K$3&lt;='Sprint Plan'!$E48),1,"")</f>
        <v/>
      </c>
      <c r="L48" s="21">
        <f>IF(AND(L$3&gt;='Sprint Plan'!$D48,L$3&lt;='Sprint Plan'!$E48),1,"")</f>
        <v/>
      </c>
      <c r="M48" s="21">
        <f>IF(AND(M$3&gt;='Sprint Plan'!$D48,M$3&lt;='Sprint Plan'!$E48),1,"")</f>
        <v/>
      </c>
    </row>
    <row r="49">
      <c r="A49" s="8">
        <f>'Sprint Plan'!A49</f>
        <v/>
      </c>
      <c r="B49" s="8">
        <f>'Sprint Plan'!B49</f>
        <v/>
      </c>
      <c r="C49" s="8">
        <f>'Sprint Plan'!C49</f>
        <v/>
      </c>
      <c r="D49" s="21">
        <f>IF(AND(D$3&gt;='Sprint Plan'!$D49,D$3&lt;='Sprint Plan'!$E49),1,"")</f>
        <v/>
      </c>
      <c r="E49" s="21">
        <f>IF(AND(E$3&gt;='Sprint Plan'!$D49,E$3&lt;='Sprint Plan'!$E49),1,"")</f>
        <v/>
      </c>
      <c r="F49" s="21">
        <f>IF(AND(F$3&gt;='Sprint Plan'!$D49,F$3&lt;='Sprint Plan'!$E49),1,"")</f>
        <v/>
      </c>
      <c r="G49" s="21">
        <f>IF(AND(G$3&gt;='Sprint Plan'!$D49,G$3&lt;='Sprint Plan'!$E49),1,"")</f>
        <v/>
      </c>
      <c r="H49" s="21">
        <f>IF(AND(H$3&gt;='Sprint Plan'!$D49,H$3&lt;='Sprint Plan'!$E49),1,"")</f>
        <v/>
      </c>
      <c r="I49" s="21">
        <f>IF(AND(I$3&gt;='Sprint Plan'!$D49,I$3&lt;='Sprint Plan'!$E49),1,"")</f>
        <v/>
      </c>
      <c r="J49" s="21">
        <f>IF(AND(J$3&gt;='Sprint Plan'!$D49,J$3&lt;='Sprint Plan'!$E49),1,"")</f>
        <v/>
      </c>
      <c r="K49" s="21">
        <f>IF(AND(K$3&gt;='Sprint Plan'!$D49,K$3&lt;='Sprint Plan'!$E49),1,"")</f>
        <v/>
      </c>
      <c r="L49" s="21">
        <f>IF(AND(L$3&gt;='Sprint Plan'!$D49,L$3&lt;='Sprint Plan'!$E49),1,"")</f>
        <v/>
      </c>
      <c r="M49" s="21">
        <f>IF(AND(M$3&gt;='Sprint Plan'!$D49,M$3&lt;='Sprint Plan'!$E49),1,"")</f>
        <v/>
      </c>
    </row>
    <row r="50">
      <c r="A50" s="8">
        <f>'Sprint Plan'!A50</f>
        <v/>
      </c>
      <c r="B50" s="8">
        <f>'Sprint Plan'!B50</f>
        <v/>
      </c>
      <c r="C50" s="8">
        <f>'Sprint Plan'!C50</f>
        <v/>
      </c>
      <c r="D50" s="21">
        <f>IF(AND(D$3&gt;='Sprint Plan'!$D50,D$3&lt;='Sprint Plan'!$E50),1,"")</f>
        <v/>
      </c>
      <c r="E50" s="21">
        <f>IF(AND(E$3&gt;='Sprint Plan'!$D50,E$3&lt;='Sprint Plan'!$E50),1,"")</f>
        <v/>
      </c>
      <c r="F50" s="21">
        <f>IF(AND(F$3&gt;='Sprint Plan'!$D50,F$3&lt;='Sprint Plan'!$E50),1,"")</f>
        <v/>
      </c>
      <c r="G50" s="21">
        <f>IF(AND(G$3&gt;='Sprint Plan'!$D50,G$3&lt;='Sprint Plan'!$E50),1,"")</f>
        <v/>
      </c>
      <c r="H50" s="21">
        <f>IF(AND(H$3&gt;='Sprint Plan'!$D50,H$3&lt;='Sprint Plan'!$E50),1,"")</f>
        <v/>
      </c>
      <c r="I50" s="21">
        <f>IF(AND(I$3&gt;='Sprint Plan'!$D50,I$3&lt;='Sprint Plan'!$E50),1,"")</f>
        <v/>
      </c>
      <c r="J50" s="21">
        <f>IF(AND(J$3&gt;='Sprint Plan'!$D50,J$3&lt;='Sprint Plan'!$E50),1,"")</f>
        <v/>
      </c>
      <c r="K50" s="21">
        <f>IF(AND(K$3&gt;='Sprint Plan'!$D50,K$3&lt;='Sprint Plan'!$E50),1,"")</f>
        <v/>
      </c>
      <c r="L50" s="21">
        <f>IF(AND(L$3&gt;='Sprint Plan'!$D50,L$3&lt;='Sprint Plan'!$E50),1,"")</f>
        <v/>
      </c>
      <c r="M50" s="21">
        <f>IF(AND(M$3&gt;='Sprint Plan'!$D50,M$3&lt;='Sprint Plan'!$E50),1,"")</f>
        <v/>
      </c>
    </row>
    <row r="51">
      <c r="A51" s="8">
        <f>'Sprint Plan'!A51</f>
        <v/>
      </c>
      <c r="B51" s="8">
        <f>'Sprint Plan'!B51</f>
        <v/>
      </c>
      <c r="C51" s="8">
        <f>'Sprint Plan'!C51</f>
        <v/>
      </c>
      <c r="D51" s="21">
        <f>IF(AND(D$3&gt;='Sprint Plan'!$D51,D$3&lt;='Sprint Plan'!$E51),1,"")</f>
        <v/>
      </c>
      <c r="E51" s="21">
        <f>IF(AND(E$3&gt;='Sprint Plan'!$D51,E$3&lt;='Sprint Plan'!$E51),1,"")</f>
        <v/>
      </c>
      <c r="F51" s="21">
        <f>IF(AND(F$3&gt;='Sprint Plan'!$D51,F$3&lt;='Sprint Plan'!$E51),1,"")</f>
        <v/>
      </c>
      <c r="G51" s="21">
        <f>IF(AND(G$3&gt;='Sprint Plan'!$D51,G$3&lt;='Sprint Plan'!$E51),1,"")</f>
        <v/>
      </c>
      <c r="H51" s="21">
        <f>IF(AND(H$3&gt;='Sprint Plan'!$D51,H$3&lt;='Sprint Plan'!$E51),1,"")</f>
        <v/>
      </c>
      <c r="I51" s="21">
        <f>IF(AND(I$3&gt;='Sprint Plan'!$D51,I$3&lt;='Sprint Plan'!$E51),1,"")</f>
        <v/>
      </c>
      <c r="J51" s="21">
        <f>IF(AND(J$3&gt;='Sprint Plan'!$D51,J$3&lt;='Sprint Plan'!$E51),1,"")</f>
        <v/>
      </c>
      <c r="K51" s="21">
        <f>IF(AND(K$3&gt;='Sprint Plan'!$D51,K$3&lt;='Sprint Plan'!$E51),1,"")</f>
        <v/>
      </c>
      <c r="L51" s="21">
        <f>IF(AND(L$3&gt;='Sprint Plan'!$D51,L$3&lt;='Sprint Plan'!$E51),1,"")</f>
        <v/>
      </c>
      <c r="M51" s="21">
        <f>IF(AND(M$3&gt;='Sprint Plan'!$D51,M$3&lt;='Sprint Plan'!$E51),1,"")</f>
        <v/>
      </c>
    </row>
    <row r="52">
      <c r="A52" s="8">
        <f>'Sprint Plan'!A52</f>
        <v/>
      </c>
      <c r="B52" s="8">
        <f>'Sprint Plan'!B52</f>
        <v/>
      </c>
      <c r="C52" s="8">
        <f>'Sprint Plan'!C52</f>
        <v/>
      </c>
      <c r="D52" s="21">
        <f>IF(AND(D$3&gt;='Sprint Plan'!$D52,D$3&lt;='Sprint Plan'!$E52),1,"")</f>
        <v/>
      </c>
      <c r="E52" s="21">
        <f>IF(AND(E$3&gt;='Sprint Plan'!$D52,E$3&lt;='Sprint Plan'!$E52),1,"")</f>
        <v/>
      </c>
      <c r="F52" s="21">
        <f>IF(AND(F$3&gt;='Sprint Plan'!$D52,F$3&lt;='Sprint Plan'!$E52),1,"")</f>
        <v/>
      </c>
      <c r="G52" s="21">
        <f>IF(AND(G$3&gt;='Sprint Plan'!$D52,G$3&lt;='Sprint Plan'!$E52),1,"")</f>
        <v/>
      </c>
      <c r="H52" s="21">
        <f>IF(AND(H$3&gt;='Sprint Plan'!$D52,H$3&lt;='Sprint Plan'!$E52),1,"")</f>
        <v/>
      </c>
      <c r="I52" s="21">
        <f>IF(AND(I$3&gt;='Sprint Plan'!$D52,I$3&lt;='Sprint Plan'!$E52),1,"")</f>
        <v/>
      </c>
      <c r="J52" s="21">
        <f>IF(AND(J$3&gt;='Sprint Plan'!$D52,J$3&lt;='Sprint Plan'!$E52),1,"")</f>
        <v/>
      </c>
      <c r="K52" s="21">
        <f>IF(AND(K$3&gt;='Sprint Plan'!$D52,K$3&lt;='Sprint Plan'!$E52),1,"")</f>
        <v/>
      </c>
      <c r="L52" s="21">
        <f>IF(AND(L$3&gt;='Sprint Plan'!$D52,L$3&lt;='Sprint Plan'!$E52),1,"")</f>
        <v/>
      </c>
      <c r="M52" s="21">
        <f>IF(AND(M$3&gt;='Sprint Plan'!$D52,M$3&lt;='Sprint Plan'!$E52),1,"")</f>
        <v/>
      </c>
    </row>
    <row r="53">
      <c r="A53" s="8">
        <f>'Sprint Plan'!A53</f>
        <v/>
      </c>
      <c r="B53" s="8">
        <f>'Sprint Plan'!B53</f>
        <v/>
      </c>
      <c r="C53" s="8">
        <f>'Sprint Plan'!C53</f>
        <v/>
      </c>
      <c r="D53" s="21">
        <f>IF(AND(D$3&gt;='Sprint Plan'!$D53,D$3&lt;='Sprint Plan'!$E53),1,"")</f>
        <v/>
      </c>
      <c r="E53" s="21">
        <f>IF(AND(E$3&gt;='Sprint Plan'!$D53,E$3&lt;='Sprint Plan'!$E53),1,"")</f>
        <v/>
      </c>
      <c r="F53" s="21">
        <f>IF(AND(F$3&gt;='Sprint Plan'!$D53,F$3&lt;='Sprint Plan'!$E53),1,"")</f>
        <v/>
      </c>
      <c r="G53" s="21">
        <f>IF(AND(G$3&gt;='Sprint Plan'!$D53,G$3&lt;='Sprint Plan'!$E53),1,"")</f>
        <v/>
      </c>
      <c r="H53" s="21">
        <f>IF(AND(H$3&gt;='Sprint Plan'!$D53,H$3&lt;='Sprint Plan'!$E53),1,"")</f>
        <v/>
      </c>
      <c r="I53" s="21">
        <f>IF(AND(I$3&gt;='Sprint Plan'!$D53,I$3&lt;='Sprint Plan'!$E53),1,"")</f>
        <v/>
      </c>
      <c r="J53" s="21">
        <f>IF(AND(J$3&gt;='Sprint Plan'!$D53,J$3&lt;='Sprint Plan'!$E53),1,"")</f>
        <v/>
      </c>
      <c r="K53" s="21">
        <f>IF(AND(K$3&gt;='Sprint Plan'!$D53,K$3&lt;='Sprint Plan'!$E53),1,"")</f>
        <v/>
      </c>
      <c r="L53" s="21">
        <f>IF(AND(L$3&gt;='Sprint Plan'!$D53,L$3&lt;='Sprint Plan'!$E53),1,"")</f>
        <v/>
      </c>
      <c r="M53" s="21">
        <f>IF(AND(M$3&gt;='Sprint Plan'!$D53,M$3&lt;='Sprint Plan'!$E53),1,"")</f>
        <v/>
      </c>
    </row>
    <row r="54">
      <c r="A54" s="8">
        <f>'Sprint Plan'!A54</f>
        <v/>
      </c>
      <c r="B54" s="8">
        <f>'Sprint Plan'!B54</f>
        <v/>
      </c>
      <c r="C54" s="8">
        <f>'Sprint Plan'!C54</f>
        <v/>
      </c>
      <c r="D54" s="21">
        <f>IF(AND(D$3&gt;='Sprint Plan'!$D54,D$3&lt;='Sprint Plan'!$E54),1,"")</f>
        <v/>
      </c>
      <c r="E54" s="21">
        <f>IF(AND(E$3&gt;='Sprint Plan'!$D54,E$3&lt;='Sprint Plan'!$E54),1,"")</f>
        <v/>
      </c>
      <c r="F54" s="21">
        <f>IF(AND(F$3&gt;='Sprint Plan'!$D54,F$3&lt;='Sprint Plan'!$E54),1,"")</f>
        <v/>
      </c>
      <c r="G54" s="21">
        <f>IF(AND(G$3&gt;='Sprint Plan'!$D54,G$3&lt;='Sprint Plan'!$E54),1,"")</f>
        <v/>
      </c>
      <c r="H54" s="21">
        <f>IF(AND(H$3&gt;='Sprint Plan'!$D54,H$3&lt;='Sprint Plan'!$E54),1,"")</f>
        <v/>
      </c>
      <c r="I54" s="21">
        <f>IF(AND(I$3&gt;='Sprint Plan'!$D54,I$3&lt;='Sprint Plan'!$E54),1,"")</f>
        <v/>
      </c>
      <c r="J54" s="21">
        <f>IF(AND(J$3&gt;='Sprint Plan'!$D54,J$3&lt;='Sprint Plan'!$E54),1,"")</f>
        <v/>
      </c>
      <c r="K54" s="21">
        <f>IF(AND(K$3&gt;='Sprint Plan'!$D54,K$3&lt;='Sprint Plan'!$E54),1,"")</f>
        <v/>
      </c>
      <c r="L54" s="21">
        <f>IF(AND(L$3&gt;='Sprint Plan'!$D54,L$3&lt;='Sprint Plan'!$E54),1,"")</f>
        <v/>
      </c>
      <c r="M54" s="21">
        <f>IF(AND(M$3&gt;='Sprint Plan'!$D54,M$3&lt;='Sprint Plan'!$E54),1,"")</f>
        <v/>
      </c>
    </row>
    <row r="55">
      <c r="A55" s="8">
        <f>'Sprint Plan'!A55</f>
        <v/>
      </c>
      <c r="B55" s="8">
        <f>'Sprint Plan'!B55</f>
        <v/>
      </c>
      <c r="C55" s="8">
        <f>'Sprint Plan'!C55</f>
        <v/>
      </c>
      <c r="D55" s="21">
        <f>IF(AND(D$3&gt;='Sprint Plan'!$D55,D$3&lt;='Sprint Plan'!$E55),1,"")</f>
        <v/>
      </c>
      <c r="E55" s="21">
        <f>IF(AND(E$3&gt;='Sprint Plan'!$D55,E$3&lt;='Sprint Plan'!$E55),1,"")</f>
        <v/>
      </c>
      <c r="F55" s="21">
        <f>IF(AND(F$3&gt;='Sprint Plan'!$D55,F$3&lt;='Sprint Plan'!$E55),1,"")</f>
        <v/>
      </c>
      <c r="G55" s="21">
        <f>IF(AND(G$3&gt;='Sprint Plan'!$D55,G$3&lt;='Sprint Plan'!$E55),1,"")</f>
        <v/>
      </c>
      <c r="H55" s="21">
        <f>IF(AND(H$3&gt;='Sprint Plan'!$D55,H$3&lt;='Sprint Plan'!$E55),1,"")</f>
        <v/>
      </c>
      <c r="I55" s="21">
        <f>IF(AND(I$3&gt;='Sprint Plan'!$D55,I$3&lt;='Sprint Plan'!$E55),1,"")</f>
        <v/>
      </c>
      <c r="J55" s="21">
        <f>IF(AND(J$3&gt;='Sprint Plan'!$D55,J$3&lt;='Sprint Plan'!$E55),1,"")</f>
        <v/>
      </c>
      <c r="K55" s="21">
        <f>IF(AND(K$3&gt;='Sprint Plan'!$D55,K$3&lt;='Sprint Plan'!$E55),1,"")</f>
        <v/>
      </c>
      <c r="L55" s="21">
        <f>IF(AND(L$3&gt;='Sprint Plan'!$D55,L$3&lt;='Sprint Plan'!$E55),1,"")</f>
        <v/>
      </c>
      <c r="M55" s="21">
        <f>IF(AND(M$3&gt;='Sprint Plan'!$D55,M$3&lt;='Sprint Plan'!$E55),1,"")</f>
        <v/>
      </c>
    </row>
    <row r="56">
      <c r="A56" s="8">
        <f>'Sprint Plan'!A56</f>
        <v/>
      </c>
      <c r="B56" s="8">
        <f>'Sprint Plan'!B56</f>
        <v/>
      </c>
      <c r="C56" s="8">
        <f>'Sprint Plan'!C56</f>
        <v/>
      </c>
      <c r="D56" s="21">
        <f>IF(AND(D$3&gt;='Sprint Plan'!$D56,D$3&lt;='Sprint Plan'!$E56),1,"")</f>
        <v/>
      </c>
      <c r="E56" s="21">
        <f>IF(AND(E$3&gt;='Sprint Plan'!$D56,E$3&lt;='Sprint Plan'!$E56),1,"")</f>
        <v/>
      </c>
      <c r="F56" s="21">
        <f>IF(AND(F$3&gt;='Sprint Plan'!$D56,F$3&lt;='Sprint Plan'!$E56),1,"")</f>
        <v/>
      </c>
      <c r="G56" s="21">
        <f>IF(AND(G$3&gt;='Sprint Plan'!$D56,G$3&lt;='Sprint Plan'!$E56),1,"")</f>
        <v/>
      </c>
      <c r="H56" s="21">
        <f>IF(AND(H$3&gt;='Sprint Plan'!$D56,H$3&lt;='Sprint Plan'!$E56),1,"")</f>
        <v/>
      </c>
      <c r="I56" s="21">
        <f>IF(AND(I$3&gt;='Sprint Plan'!$D56,I$3&lt;='Sprint Plan'!$E56),1,"")</f>
        <v/>
      </c>
      <c r="J56" s="21">
        <f>IF(AND(J$3&gt;='Sprint Plan'!$D56,J$3&lt;='Sprint Plan'!$E56),1,"")</f>
        <v/>
      </c>
      <c r="K56" s="21">
        <f>IF(AND(K$3&gt;='Sprint Plan'!$D56,K$3&lt;='Sprint Plan'!$E56),1,"")</f>
        <v/>
      </c>
      <c r="L56" s="21">
        <f>IF(AND(L$3&gt;='Sprint Plan'!$D56,L$3&lt;='Sprint Plan'!$E56),1,"")</f>
        <v/>
      </c>
      <c r="M56" s="21">
        <f>IF(AND(M$3&gt;='Sprint Plan'!$D56,M$3&lt;='Sprint Plan'!$E56),1,"")</f>
        <v/>
      </c>
    </row>
  </sheetData>
  <conditionalFormatting sqref="D4:M56">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2026-10-11T19:57:36Z</dcterms:modified>
</cp:coreProperties>
</file>