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rint Plan" sheetId="1" state="visible" r:id="rId1"/>
    <sheet name="Team Load" sheetId="2" state="visible" r:id="rId2"/>
    <sheet name="Gantt" sheetId="3" state="visible" r:id="rId3"/>
  </sheets>
  <definedNames/>
  <calcPr calcId="124519" fullCalcOnLoad="1"/>
</workbook>
</file>

<file path=xl/styles.xml><?xml version="1.0" encoding="utf-8"?>
<styleSheet xmlns="http://schemas.openxmlformats.org/spreadsheetml/2006/main">
  <numFmts count="3">
    <numFmt numFmtId="164" formatCode="ddd d mmm"/>
    <numFmt numFmtId="165" formatCode="d mmm"/>
    <numFmt numFmtId="166" formatCode=";;;"/>
  </numFmts>
  <fonts count="9">
    <font>
      <name val="Calibri"/>
      <family val="2"/>
      <color theme="1"/>
      <sz val="11"/>
      <scheme val="minor"/>
    </font>
    <font>
      <name val="Arial"/>
      <b val="1"/>
      <color rgb="000B1F3A"/>
      <sz val="14"/>
    </font>
    <font>
      <name val="Arial"/>
      <b val="1"/>
      <color rgb="00FFFFFF"/>
    </font>
    <font>
      <name val="Arial"/>
      <color rgb="00000000"/>
    </font>
    <font>
      <name val="Arial"/>
      <color rgb="000000FF"/>
    </font>
    <font>
      <name val="Arial"/>
      <b val="1"/>
    </font>
    <font>
      <name val="Arial"/>
    </font>
    <font>
      <name val="Arial"/>
      <b val="1"/>
      <color rgb="000B1F3A"/>
      <sz val="13"/>
    </font>
    <font>
      <name val="Arial"/>
      <color rgb="00FFFFFF"/>
      <sz val="8"/>
    </font>
  </fonts>
  <fills count="3">
    <fill>
      <patternFill/>
    </fill>
    <fill>
      <patternFill patternType="gray125"/>
    </fill>
    <fill>
      <patternFill patternType="solid">
        <fgColor rgb="000B1F3A"/>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xf>
    <xf numFmtId="0" fontId="3" fillId="0" borderId="1" applyAlignment="1" pivotButton="0" quotePrefix="0" xfId="0">
      <alignment vertical="top" wrapText="1"/>
    </xf>
    <xf numFmtId="164" fontId="4" fillId="0" borderId="1" applyAlignment="1" pivotButton="0" quotePrefix="0" xfId="0">
      <alignment vertical="top"/>
    </xf>
    <xf numFmtId="0" fontId="4" fillId="0" borderId="1" applyAlignment="1" pivotButton="0" quotePrefix="0" xfId="0">
      <alignment vertical="top"/>
    </xf>
    <xf numFmtId="0" fontId="5" fillId="0" borderId="0" pivotButton="0" quotePrefix="0" xfId="0"/>
    <xf numFmtId="0" fontId="6" fillId="0" borderId="0" pivotButton="0" quotePrefix="0" xfId="0"/>
    <xf numFmtId="0" fontId="7" fillId="0" borderId="0" pivotButton="0" quotePrefix="0" xfId="0"/>
    <xf numFmtId="0" fontId="4" fillId="0" borderId="0" pivotButton="0" quotePrefix="0" xfId="0"/>
    <xf numFmtId="0" fontId="2" fillId="2" borderId="1" applyAlignment="1" pivotButton="0" quotePrefix="0" xfId="0">
      <alignment horizontal="center" wrapText="1"/>
    </xf>
    <xf numFmtId="0" fontId="6" fillId="0" borderId="1" pivotButton="0" quotePrefix="0" xfId="0"/>
    <xf numFmtId="9" fontId="6" fillId="0" borderId="1" pivotButton="0" quotePrefix="0" xfId="0"/>
    <xf numFmtId="0" fontId="5" fillId="0" borderId="1" pivotButton="0" quotePrefix="0" xfId="0"/>
    <xf numFmtId="165" fontId="2" fillId="2" borderId="1" applyAlignment="1" pivotButton="0" quotePrefix="0" xfId="0">
      <alignment horizontal="center" wrapText="1"/>
    </xf>
    <xf numFmtId="166" fontId="8" fillId="0" borderId="1" applyAlignment="1" pivotButton="0" quotePrefix="0" xfId="0">
      <alignment horizontal="center"/>
    </xf>
    <xf numFmtId="164" fontId="4" fillId="0" borderId="1" applyAlignment="1" pivotButton="0" quotePrefix="0" xfId="0">
      <alignment vertical="top"/>
    </xf>
    <xf numFmtId="1" fontId="6" fillId="0" borderId="0" pivotButton="0" quotePrefix="0" xfId="0"/>
    <xf numFmtId="9" fontId="6" fillId="0" borderId="0" pivotButton="0" quotePrefix="0" xfId="0"/>
    <xf numFmtId="165" fontId="2" fillId="2" borderId="1" applyAlignment="1" pivotButton="0" quotePrefix="0" xfId="0">
      <alignment horizontal="center" wrapText="1"/>
    </xf>
    <xf numFmtId="166" fontId="8" fillId="0" borderId="1" applyAlignment="1" pivotButton="0" quotePrefix="0" xfId="0">
      <alignment horizontal="center"/>
    </xf>
  </cellXfs>
  <cellStyles count="1">
    <cellStyle name="Normal" xfId="0" builtinId="0" hidden="0"/>
  </cellStyles>
  <dxfs count="2">
    <dxf>
      <fill>
        <patternFill patternType="solid">
          <fgColor rgb="00FFC53D"/>
        </patternFill>
      </fill>
    </dxf>
    <dxf>
      <fill>
        <patternFill patternType="solid">
          <fgColor rgb="000FB5A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0"/>
  <sheetViews>
    <sheetView workbookViewId="0">
      <pane ySplit="3" topLeftCell="A4" activePane="bottomLeft" state="frozen"/>
      <selection pane="bottomLeft" activeCell="A1" sqref="A1"/>
    </sheetView>
  </sheetViews>
  <sheetFormatPr baseColWidth="8" defaultRowHeight="15"/>
  <cols>
    <col width="7" customWidth="1" min="1" max="1"/>
    <col width="50" customWidth="1" min="2" max="2"/>
    <col width="12" customWidth="1" min="3" max="3"/>
    <col width="14" customWidth="1" min="4" max="4"/>
    <col width="14" customWidth="1" min="5" max="5"/>
    <col width="7" customWidth="1" min="6" max="6"/>
    <col width="8" customWidth="1" min="7" max="7"/>
    <col width="14" customWidth="1" min="8" max="8"/>
    <col width="12" customWidth="1" min="9" max="9"/>
    <col width="36" customWidth="1" min="10" max="10"/>
    <col width="13" customWidth="1" min="11" max="11"/>
  </cols>
  <sheetData>
    <row r="1">
      <c r="A1" s="1" t="inlineStr">
        <is>
          <t>FunnelStream Sprint Plan, 4-13 October 2026 (5 members)</t>
        </is>
      </c>
    </row>
    <row r="2">
      <c r="A2" t="inlineStr">
        <is>
          <t>Status as of Thursday 8 October 2026. Dates of Done tasks are actual (commit history); dates of open tasks are planned.</t>
        </is>
      </c>
    </row>
    <row r="3">
      <c r="A3" s="2" t="inlineStr">
        <is>
          <t>ID</t>
        </is>
      </c>
      <c r="B3" s="2" t="inlineStr">
        <is>
          <t>Task</t>
        </is>
      </c>
      <c r="C3" s="2" t="inlineStr">
        <is>
          <t>Owner</t>
        </is>
      </c>
      <c r="D3" s="2" t="inlineStr">
        <is>
          <t>Start</t>
        </is>
      </c>
      <c r="E3" s="2" t="inlineStr">
        <is>
          <t>End</t>
        </is>
      </c>
      <c r="F3" s="2" t="inlineStr">
        <is>
          <t>Days</t>
        </is>
      </c>
      <c r="G3" s="2" t="inlineStr">
        <is>
          <t>Hours</t>
        </is>
      </c>
      <c r="H3" s="2" t="inlineStr">
        <is>
          <t>Depends on</t>
        </is>
      </c>
      <c r="I3" s="2" t="inlineStr">
        <is>
          <t>Type</t>
        </is>
      </c>
      <c r="J3" s="2" t="inlineStr">
        <is>
          <t>Notes</t>
        </is>
      </c>
      <c r="K3" s="2" t="inlineStr">
        <is>
          <t>Status</t>
        </is>
      </c>
    </row>
    <row r="4">
      <c r="A4" s="3" t="inlineStr">
        <is>
          <t>T1</t>
        </is>
      </c>
      <c r="B4" s="4" t="inlineStr">
        <is>
          <t>Scaffold repo, Python env, Docker Compose stack</t>
        </is>
      </c>
      <c r="C4" s="3" t="inlineStr">
        <is>
          <t>Member 1</t>
        </is>
      </c>
      <c r="D4" s="17" t="n">
        <v>46299</v>
      </c>
      <c r="E4" s="17" t="n">
        <v>46299</v>
      </c>
      <c r="F4" s="3">
        <f>E4-D4+1</f>
        <v/>
      </c>
      <c r="G4" s="6" t="n">
        <v>6</v>
      </c>
      <c r="H4" s="3" t="inlineStr">
        <is>
          <t>-</t>
        </is>
      </c>
      <c r="I4" s="3" t="inlineStr">
        <is>
          <t>Build</t>
        </is>
      </c>
      <c r="J4" s="4" t="inlineStr">
        <is>
          <t>Compose memory limits</t>
        </is>
      </c>
      <c r="K4" s="6" t="inlineStr">
        <is>
          <t>Done</t>
        </is>
      </c>
    </row>
    <row r="5">
      <c r="A5" s="3" t="inlineStr">
        <is>
          <t>T1c</t>
        </is>
      </c>
      <c r="B5" s="4" t="inlineStr">
        <is>
          <t>Remove MinIO from stack; local Delta plus Databricks hybrid</t>
        </is>
      </c>
      <c r="C5" s="3" t="inlineStr">
        <is>
          <t>Member 1</t>
        </is>
      </c>
      <c r="D5" s="17" t="n">
        <v>46299</v>
      </c>
      <c r="E5" s="17" t="n">
        <v>46299</v>
      </c>
      <c r="F5" s="3">
        <f>E5-D5+1</f>
        <v/>
      </c>
      <c r="G5" s="6" t="n">
        <v>1</v>
      </c>
      <c r="H5" s="3" t="inlineStr">
        <is>
          <t>T1</t>
        </is>
      </c>
      <c r="I5" s="3" t="inlineStr">
        <is>
          <t>Build</t>
        </is>
      </c>
      <c r="J5" s="4" t="inlineStr">
        <is>
          <t>Amendment A</t>
        </is>
      </c>
      <c r="K5" s="6" t="inlineStr">
        <is>
          <t>Done</t>
        </is>
      </c>
    </row>
    <row r="6">
      <c r="A6" s="3" t="inlineStr">
        <is>
          <t>T1d</t>
        </is>
      </c>
      <c r="B6" s="4" t="inlineStr">
        <is>
          <t>Kafka host listeners, Airflow deps and mounts, env names</t>
        </is>
      </c>
      <c r="C6" s="3" t="inlineStr">
        <is>
          <t>Member 1</t>
        </is>
      </c>
      <c r="D6" s="17" t="n">
        <v>46299</v>
      </c>
      <c r="E6" s="17" t="n">
        <v>46299</v>
      </c>
      <c r="F6" s="3">
        <f>E6-D6+1</f>
        <v/>
      </c>
      <c r="G6" s="6" t="n">
        <v>2</v>
      </c>
      <c r="H6" s="3" t="inlineStr">
        <is>
          <t>T1c</t>
        </is>
      </c>
      <c r="I6" s="3" t="inlineStr">
        <is>
          <t>Build</t>
        </is>
      </c>
      <c r="J6" s="4" t="inlineStr">
        <is>
          <t>Amendment B</t>
        </is>
      </c>
      <c r="K6" s="6" t="inlineStr">
        <is>
          <t>Done</t>
        </is>
      </c>
    </row>
    <row r="7">
      <c r="A7" s="3" t="inlineStr">
        <is>
          <t>T0</t>
        </is>
      </c>
      <c r="B7" s="4" t="inlineStr">
        <is>
          <t>Databricks workspace, SQL warehouse, token, one upload test</t>
        </is>
      </c>
      <c r="C7" s="3" t="inlineStr">
        <is>
          <t>Member 4</t>
        </is>
      </c>
      <c r="D7" s="17" t="n">
        <v>46300</v>
      </c>
      <c r="E7" s="17" t="n">
        <v>46300</v>
      </c>
      <c r="F7" s="3">
        <f>E7-D7+1</f>
        <v/>
      </c>
      <c r="G7" s="6" t="n">
        <v>3</v>
      </c>
      <c r="H7" s="3" t="inlineStr">
        <is>
          <t>-</t>
        </is>
      </c>
      <c r="I7" s="3" t="inlineStr">
        <is>
          <t>Setup</t>
        </is>
      </c>
      <c r="J7" s="4" t="inlineStr">
        <is>
          <t>Human step. Token goes in .env only</t>
        </is>
      </c>
      <c r="K7" s="6" t="inlineStr">
        <is>
          <t>Done</t>
        </is>
      </c>
    </row>
    <row r="8">
      <c r="A8" s="3" t="inlineStr">
        <is>
          <t>T2</t>
        </is>
      </c>
      <c r="B8" s="4" t="inlineStr">
        <is>
          <t>Event contracts and validator</t>
        </is>
      </c>
      <c r="C8" s="3" t="inlineStr">
        <is>
          <t>Member 2</t>
        </is>
      </c>
      <c r="D8" s="17" t="n">
        <v>46299</v>
      </c>
      <c r="E8" s="17" t="n">
        <v>46299</v>
      </c>
      <c r="F8" s="3">
        <f>E8-D8+1</f>
        <v/>
      </c>
      <c r="G8" s="6" t="n">
        <v>4</v>
      </c>
      <c r="H8" s="3" t="inlineStr">
        <is>
          <t>-</t>
        </is>
      </c>
      <c r="I8" s="3" t="inlineStr">
        <is>
          <t>Build</t>
        </is>
      </c>
      <c r="J8" s="4" t="inlineStr">
        <is>
          <t>Hardened in T6b</t>
        </is>
      </c>
      <c r="K8" s="6" t="inlineStr">
        <is>
          <t>Done</t>
        </is>
      </c>
    </row>
    <row r="9">
      <c r="A9" s="3" t="inlineStr">
        <is>
          <t>T3</t>
        </is>
      </c>
      <c r="B9" s="4" t="inlineStr">
        <is>
          <t>Simulator: customer journeys (funnel, UTM)</t>
        </is>
      </c>
      <c r="C9" s="3" t="inlineStr">
        <is>
          <t>Member 1</t>
        </is>
      </c>
      <c r="D9" s="17" t="n">
        <v>46299</v>
      </c>
      <c r="E9" s="17" t="n">
        <v>46299</v>
      </c>
      <c r="F9" s="3">
        <f>E9-D9+1</f>
        <v/>
      </c>
      <c r="G9" s="6" t="n">
        <v>8</v>
      </c>
      <c r="H9" s="3" t="inlineStr">
        <is>
          <t>T1</t>
        </is>
      </c>
      <c r="I9" s="3" t="inlineStr">
        <is>
          <t>Build</t>
        </is>
      </c>
      <c r="J9" s="4" t="inlineStr">
        <is>
          <t>64-bit ids</t>
        </is>
      </c>
      <c r="K9" s="6" t="inlineStr">
        <is>
          <t>Done</t>
        </is>
      </c>
    </row>
    <row r="10">
      <c r="A10" s="3" t="inlineStr">
        <is>
          <t>T4</t>
        </is>
      </c>
      <c r="B10" s="4" t="inlineStr">
        <is>
          <t>Simulator: orders and delivery lifecycle</t>
        </is>
      </c>
      <c r="C10" s="3" t="inlineStr">
        <is>
          <t>Member 1</t>
        </is>
      </c>
      <c r="D10" s="17" t="n">
        <v>46299</v>
      </c>
      <c r="E10" s="17" t="n">
        <v>46299</v>
      </c>
      <c r="F10" s="3">
        <f>E10-D10+1</f>
        <v/>
      </c>
      <c r="G10" s="6" t="n">
        <v>8</v>
      </c>
      <c r="H10" s="3" t="inlineStr">
        <is>
          <t>T3</t>
        </is>
      </c>
      <c r="I10" s="3" t="inlineStr">
        <is>
          <t>Build</t>
        </is>
      </c>
      <c r="J10" s="4" t="inlineStr">
        <is>
          <t>Status rank</t>
        </is>
      </c>
      <c r="K10" s="6" t="inlineStr">
        <is>
          <t>Done</t>
        </is>
      </c>
    </row>
    <row r="11">
      <c r="A11" s="3" t="inlineStr">
        <is>
          <t>T5</t>
        </is>
      </c>
      <c r="B11" s="4" t="inlineStr">
        <is>
          <t>Mock ad API and campaign dataset</t>
        </is>
      </c>
      <c r="C11" s="3" t="inlineStr">
        <is>
          <t>Member 4</t>
        </is>
      </c>
      <c r="D11" s="17" t="n">
        <v>46299</v>
      </c>
      <c r="E11" s="17" t="n">
        <v>46299</v>
      </c>
      <c r="F11" s="3">
        <f>E11-D11+1</f>
        <v/>
      </c>
      <c r="G11" s="6" t="n">
        <v>4</v>
      </c>
      <c r="H11" s="3" t="inlineStr">
        <is>
          <t>T1</t>
        </is>
      </c>
      <c r="I11" s="3" t="inlineStr">
        <is>
          <t>Build</t>
        </is>
      </c>
      <c r="J11" s="4" t="inlineStr">
        <is>
          <t>400 handling, tz</t>
        </is>
      </c>
      <c r="K11" s="6" t="inlineStr">
        <is>
          <t>Done</t>
        </is>
      </c>
    </row>
    <row r="12">
      <c r="A12" s="3" t="inlineStr">
        <is>
          <t>T6</t>
        </is>
      </c>
      <c r="B12" s="4" t="inlineStr">
        <is>
          <t>Kafka topics, idempotent publisher, runner</t>
        </is>
      </c>
      <c r="C12" s="3" t="inlineStr">
        <is>
          <t>Member 2</t>
        </is>
      </c>
      <c r="D12" s="17" t="n">
        <v>46299</v>
      </c>
      <c r="E12" s="17" t="n">
        <v>46299</v>
      </c>
      <c r="F12" s="3">
        <f>E12-D12+1</f>
        <v/>
      </c>
      <c r="G12" s="6" t="n">
        <v>6</v>
      </c>
      <c r="H12" s="3" t="inlineStr">
        <is>
          <t>T2, T4</t>
        </is>
      </c>
      <c r="I12" s="3" t="inlineStr">
        <is>
          <t>Build</t>
        </is>
      </c>
      <c r="J12" s="4" t="inlineStr">
        <is>
          <t>History and live modes</t>
        </is>
      </c>
      <c r="K12" s="6" t="inlineStr">
        <is>
          <t>Done</t>
        </is>
      </c>
    </row>
    <row r="13">
      <c r="A13" s="3" t="inlineStr">
        <is>
          <t>T6b</t>
        </is>
      </c>
      <c r="B13" s="4" t="inlineStr">
        <is>
          <t>Noise injection and handling primitives</t>
        </is>
      </c>
      <c r="C13" s="3" t="inlineStr">
        <is>
          <t>Member 5</t>
        </is>
      </c>
      <c r="D13" s="17" t="n">
        <v>46299</v>
      </c>
      <c r="E13" s="17" t="n">
        <v>46299</v>
      </c>
      <c r="F13" s="3">
        <f>E13-D13+1</f>
        <v/>
      </c>
      <c r="G13" s="6" t="n">
        <v>12</v>
      </c>
      <c r="H13" s="3" t="inlineStr">
        <is>
          <t>T6</t>
        </is>
      </c>
      <c r="I13" s="3" t="inlineStr">
        <is>
          <t>Build</t>
        </is>
      </c>
      <c r="J13" s="4" t="inlineStr">
        <is>
          <t>Noise kinds with manifest counts (19 after D1)</t>
        </is>
      </c>
      <c r="K13" s="6" t="inlineStr">
        <is>
          <t>Done</t>
        </is>
      </c>
    </row>
    <row r="14">
      <c r="A14" s="3" t="inlineStr">
        <is>
          <t>T7</t>
        </is>
      </c>
      <c r="B14" s="4" t="inlineStr">
        <is>
          <t>Spark session and Bronze ingest (3 tables, local Delta)</t>
        </is>
      </c>
      <c r="C14" s="3" t="inlineStr">
        <is>
          <t>Member 2</t>
        </is>
      </c>
      <c r="D14" s="17" t="n">
        <v>46299</v>
      </c>
      <c r="E14" s="17" t="n">
        <v>46299</v>
      </c>
      <c r="F14" s="3">
        <f>E14-D14+1</f>
        <v/>
      </c>
      <c r="G14" s="6" t="n">
        <v>6</v>
      </c>
      <c r="H14" s="3" t="inlineStr">
        <is>
          <t>T6, T1d</t>
        </is>
      </c>
      <c r="I14" s="3" t="inlineStr">
        <is>
          <t>Build</t>
        </is>
      </c>
      <c r="J14" s="4" t="inlineStr">
        <is>
          <t>Spark runs in Docker (no winutils)</t>
        </is>
      </c>
      <c r="K14" s="6" t="inlineStr">
        <is>
          <t>Done</t>
        </is>
      </c>
    </row>
    <row r="15">
      <c r="A15" s="3" t="inlineStr">
        <is>
          <t>T8</t>
        </is>
      </c>
      <c r="B15" s="4" t="inlineStr">
        <is>
          <t>Silver: validate, dedup, flatten, quarantine, orders</t>
        </is>
      </c>
      <c r="C15" s="3" t="inlineStr">
        <is>
          <t>Member 2</t>
        </is>
      </c>
      <c r="D15" s="17" t="n">
        <v>46299</v>
      </c>
      <c r="E15" s="17" t="n">
        <v>46299</v>
      </c>
      <c r="F15" s="3">
        <f>E15-D15+1</f>
        <v/>
      </c>
      <c r="G15" s="6" t="n">
        <v>12</v>
      </c>
      <c r="H15" s="3" t="inlineStr">
        <is>
          <t>T7, T6b</t>
        </is>
      </c>
      <c r="I15" s="3" t="inlineStr">
        <is>
          <t>Build</t>
        </is>
      </c>
      <c r="J15" s="4" t="inlineStr">
        <is>
          <t>Highest-risk Spark task; partitioned by event_date</t>
        </is>
      </c>
      <c r="K15" s="6" t="inlineStr">
        <is>
          <t>Done</t>
        </is>
      </c>
    </row>
    <row r="16">
      <c r="A16" s="3" t="inlineStr">
        <is>
          <t>T9</t>
        </is>
      </c>
      <c r="B16" s="4" t="inlineStr">
        <is>
          <t>Gold builders (Spark reference) and local live metrics</t>
        </is>
      </c>
      <c r="C16" s="3" t="inlineStr">
        <is>
          <t>Member 3</t>
        </is>
      </c>
      <c r="D16" s="17" t="n">
        <v>46299</v>
      </c>
      <c r="E16" s="17" t="n">
        <v>46299</v>
      </c>
      <c r="F16" s="3">
        <f>E16-D16+1</f>
        <v/>
      </c>
      <c r="G16" s="6" t="n">
        <v>8</v>
      </c>
      <c r="H16" s="3" t="inlineStr">
        <is>
          <t>T8</t>
        </is>
      </c>
      <c r="I16" s="3" t="inlineStr">
        <is>
          <t>Build</t>
        </is>
      </c>
      <c r="J16" s="4" t="inlineStr">
        <is>
          <t>Reference for the Gold SQL parity tests</t>
        </is>
      </c>
      <c r="K16" s="6" t="inlineStr">
        <is>
          <t>Done</t>
        </is>
      </c>
    </row>
    <row r="17">
      <c r="A17" s="3" t="inlineStr">
        <is>
          <t>T10</t>
        </is>
      </c>
      <c r="B17" s="4" t="inlineStr">
        <is>
          <t>Postgres fallback DDL, Databricks DDL, loader</t>
        </is>
      </c>
      <c r="C17" s="3" t="inlineStr">
        <is>
          <t>Member 3</t>
        </is>
      </c>
      <c r="D17" s="17" t="n">
        <v>46299</v>
      </c>
      <c r="E17" s="17" t="n">
        <v>46299</v>
      </c>
      <c r="F17" s="3">
        <f>E17-D17+1</f>
        <v/>
      </c>
      <c r="G17" s="6" t="n">
        <v>6</v>
      </c>
      <c r="H17" s="3" t="inlineStr">
        <is>
          <t>T1</t>
        </is>
      </c>
      <c r="I17" s="3" t="inlineStr">
        <is>
          <t>Build</t>
        </is>
      </c>
      <c r="J17" s="4" t="inlineStr">
        <is>
          <t>One table spec generates both DDL files</t>
        </is>
      </c>
      <c r="K17" s="6" t="inlineStr">
        <is>
          <t>Done</t>
        </is>
      </c>
    </row>
    <row r="18">
      <c r="A18" s="3" t="inlineStr">
        <is>
          <t>T10b</t>
        </is>
      </c>
      <c r="B18" s="4" t="inlineStr">
        <is>
          <t>GoldStore interface, Databricks backend, publish_silver</t>
        </is>
      </c>
      <c r="C18" s="3" t="inlineStr">
        <is>
          <t>Member 3</t>
        </is>
      </c>
      <c r="D18" s="17" t="n">
        <v>46300</v>
      </c>
      <c r="E18" s="17" t="n">
        <v>46300</v>
      </c>
      <c r="F18" s="3">
        <f>E18-D18+1</f>
        <v/>
      </c>
      <c r="G18" s="6" t="n">
        <v>8</v>
      </c>
      <c r="H18" s="3" t="inlineStr">
        <is>
          <t>T10, T0</t>
        </is>
      </c>
      <c r="I18" s="3" t="inlineStr">
        <is>
          <t>Build</t>
        </is>
      </c>
      <c r="J18" s="4" t="inlineStr">
        <is>
          <t>Verified on the real workspace</t>
        </is>
      </c>
      <c r="K18" s="6" t="inlineStr">
        <is>
          <t>Done</t>
        </is>
      </c>
    </row>
    <row r="19">
      <c r="A19" s="3" t="inlineStr">
        <is>
          <t>C1</t>
        </is>
      </c>
      <c r="B19" s="4" t="inlineStr">
        <is>
          <t>Amendment C: order_returned, COD rule, platform, DLQ removed</t>
        </is>
      </c>
      <c r="C19" s="3" t="inlineStr">
        <is>
          <t>Member 1</t>
        </is>
      </c>
      <c r="D19" s="17" t="n">
        <v>46300</v>
      </c>
      <c r="E19" s="17" t="n">
        <v>46300</v>
      </c>
      <c r="F19" s="3">
        <f>E19-D19+1</f>
        <v/>
      </c>
      <c r="G19" s="6" t="n">
        <v>4</v>
      </c>
      <c r="H19" s="3" t="inlineStr">
        <is>
          <t>T10b</t>
        </is>
      </c>
      <c r="I19" s="3" t="inlineStr">
        <is>
          <t>Build</t>
        </is>
      </c>
      <c r="J19" s="4" t="inlineStr">
        <is>
          <t>External review items 5, 6, 7, 9, 15, 22</t>
        </is>
      </c>
      <c r="K19" s="6" t="inlineStr">
        <is>
          <t>Done</t>
        </is>
      </c>
    </row>
    <row r="20">
      <c r="A20" s="3" t="inlineStr">
        <is>
          <t>C2</t>
        </is>
      </c>
      <c r="B20" s="4" t="inlineStr">
        <is>
          <t>Amendment C: Silver platform, returned status, platform conversions</t>
        </is>
      </c>
      <c r="C20" s="3" t="inlineStr">
        <is>
          <t>Member 2</t>
        </is>
      </c>
      <c r="D20" s="17" t="n">
        <v>46300</v>
      </c>
      <c r="E20" s="17" t="n">
        <v>46300</v>
      </c>
      <c r="F20" s="3">
        <f>E20-D20+1</f>
        <v/>
      </c>
      <c r="G20" s="6" t="n">
        <v>4</v>
      </c>
      <c r="H20" s="3" t="inlineStr">
        <is>
          <t>C1</t>
        </is>
      </c>
      <c r="I20" s="3" t="inlineStr">
        <is>
          <t>Build</t>
        </is>
      </c>
      <c r="J20" s="4" t="inlineStr">
        <is>
          <t>Silver mirror columns and publish allow-list</t>
        </is>
      </c>
      <c r="K20" s="6" t="inlineStr">
        <is>
          <t>Done</t>
        </is>
      </c>
    </row>
    <row r="21">
      <c r="A21" s="3" t="inlineStr">
        <is>
          <t>C3</t>
        </is>
      </c>
      <c r="B21" s="4" t="inlineStr">
        <is>
          <t>Amendment C: Gold model renames, unknown members (-1), new columns</t>
        </is>
      </c>
      <c r="C21" s="3" t="inlineStr">
        <is>
          <t>Member 3</t>
        </is>
      </c>
      <c r="D21" s="17" t="n">
        <v>46300</v>
      </c>
      <c r="E21" s="17" t="n">
        <v>46300</v>
      </c>
      <c r="F21" s="3">
        <f>E21-D21+1</f>
        <v/>
      </c>
      <c r="G21" s="6" t="n">
        <v>6</v>
      </c>
      <c r="H21" s="3" t="inlineStr">
        <is>
          <t>C2</t>
        </is>
      </c>
      <c r="I21" s="3" t="inlineStr">
        <is>
          <t>Build</t>
        </is>
      </c>
      <c r="J21" s="4" t="inlineStr">
        <is>
          <t>agg_/rec_ names, BY DEFAULT identity keys; items 1, 2, 10, 12, 13</t>
        </is>
      </c>
      <c r="K21" s="6" t="inlineStr">
        <is>
          <t>Done</t>
        </is>
      </c>
    </row>
    <row r="22">
      <c r="A22" s="3" t="inlineStr">
        <is>
          <t>C4</t>
        </is>
      </c>
      <c r="B22" s="4" t="inlineStr">
        <is>
          <t>Cleanup of C1-C3 findings and Databricks migration check</t>
        </is>
      </c>
      <c r="C22" s="3" t="inlineStr">
        <is>
          <t>Member 3</t>
        </is>
      </c>
      <c r="D22" s="17" t="n">
        <v>46300</v>
      </c>
      <c r="E22" s="17" t="n">
        <v>46300</v>
      </c>
      <c r="F22" s="3">
        <f>E22-D22+1</f>
        <v/>
      </c>
      <c r="G22" s="6" t="n">
        <v>3</v>
      </c>
      <c r="H22" s="3" t="inlineStr">
        <is>
          <t>C3</t>
        </is>
      </c>
      <c r="I22" s="3" t="inlineStr">
        <is>
          <t>Build</t>
        </is>
      </c>
      <c r="J22" s="4" t="inlineStr">
        <is>
          <t>Real workspace verified read-only</t>
        </is>
      </c>
      <c r="K22" s="6" t="inlineStr">
        <is>
          <t>Done</t>
        </is>
      </c>
    </row>
    <row r="23">
      <c r="A23" s="3" t="inlineStr">
        <is>
          <t>T10c</t>
        </is>
      </c>
      <c r="B23" s="4" t="inlineStr">
        <is>
          <t>Gold build: incremental MERGE SQL, dims, dim_date, facts, summaries</t>
        </is>
      </c>
      <c r="C23" s="3" t="inlineStr">
        <is>
          <t>Member 3</t>
        </is>
      </c>
      <c r="D23" s="17" t="n">
        <v>46301</v>
      </c>
      <c r="E23" s="17" t="n">
        <v>46301</v>
      </c>
      <c r="F23" s="3">
        <f>E23-D23+1</f>
        <v/>
      </c>
      <c r="G23" s="6" t="n">
        <v>12</v>
      </c>
      <c r="H23" s="3" t="inlineStr">
        <is>
          <t>T10b, T8</t>
        </is>
      </c>
      <c r="I23" s="3" t="inlineStr">
        <is>
          <t>Build</t>
        </is>
      </c>
      <c r="J23" s="4" t="inlineStr">
        <is>
          <t>Real run: 0 mismatches vs reference; single Gold writer</t>
        </is>
      </c>
      <c r="K23" s="6" t="inlineStr">
        <is>
          <t>Done</t>
        </is>
      </c>
    </row>
    <row r="24">
      <c r="A24" s="3" t="inlineStr">
        <is>
          <t>T11</t>
        </is>
      </c>
      <c r="B24" s="4" t="inlineStr">
        <is>
          <t>SCD2 dimensions (customer, product)</t>
        </is>
      </c>
      <c r="C24" s="3" t="inlineStr">
        <is>
          <t>Member 4</t>
        </is>
      </c>
      <c r="D24" s="17" t="n">
        <v>46301</v>
      </c>
      <c r="E24" s="17" t="n">
        <v>46301</v>
      </c>
      <c r="F24" s="3">
        <f>E24-D24+1</f>
        <v/>
      </c>
      <c r="G24" s="6" t="n">
        <v>5</v>
      </c>
      <c r="H24" s="3" t="inlineStr">
        <is>
          <t>T3, T10b</t>
        </is>
      </c>
      <c r="I24" s="3" t="inlineStr">
        <is>
          <t>Build</t>
        </is>
      </c>
      <c r="J24" s="4" t="inlineStr">
        <is>
          <t>Delivered inside the T10c SQL; one version per day</t>
        </is>
      </c>
      <c r="K24" s="6" t="inlineStr">
        <is>
          <t>Done</t>
        </is>
      </c>
    </row>
    <row r="25">
      <c r="A25" s="3" t="inlineStr">
        <is>
          <t>AD</t>
        </is>
      </c>
      <c r="B25" s="4" t="inlineStr">
        <is>
          <t>Yesterday's ad report: batch.ads_report and Airflow DAG</t>
        </is>
      </c>
      <c r="C25" s="3" t="inlineStr">
        <is>
          <t>Member 4</t>
        </is>
      </c>
      <c r="D25" s="17" t="n">
        <v>46301</v>
      </c>
      <c r="E25" s="17" t="n">
        <v>46301</v>
      </c>
      <c r="F25" s="3">
        <f>E25-D25+1</f>
        <v/>
      </c>
      <c r="G25" s="6" t="n">
        <v>5</v>
      </c>
      <c r="H25" s="3" t="inlineStr">
        <is>
          <t>T5, T10b</t>
        </is>
      </c>
      <c r="I25" s="3" t="inlineStr">
        <is>
          <t>Build</t>
        </is>
      </c>
      <c r="J25" s="4" t="inlineStr">
        <is>
          <t>Pulls once per day, same-day rerun returns the stored report</t>
        </is>
      </c>
      <c r="K25" s="6" t="inlineStr">
        <is>
          <t>Done</t>
        </is>
      </c>
    </row>
    <row r="26">
      <c r="A26" s="3" t="inlineStr">
        <is>
          <t>D1</t>
        </is>
      </c>
      <c r="B26" s="4" t="inlineStr">
        <is>
          <t>District hierarchy, page_url with UTM, dirty_district and dirty_utm noise</t>
        </is>
      </c>
      <c r="C26" s="3" t="inlineStr">
        <is>
          <t>Member 1</t>
        </is>
      </c>
      <c r="D26" s="17" t="n">
        <v>46301</v>
      </c>
      <c r="E26" s="17" t="n">
        <v>46301</v>
      </c>
      <c r="F26" s="3">
        <f>E26-D26+1</f>
        <v/>
      </c>
      <c r="G26" s="6" t="n">
        <v>5</v>
      </c>
      <c r="H26" s="3" t="inlineStr">
        <is>
          <t>T3, T6b</t>
        </is>
      </c>
      <c r="I26" s="3" t="inlineStr">
        <is>
          <t>Build</t>
        </is>
      </c>
      <c r="J26" s="4" t="inlineStr">
        <is>
          <t>36 official districts under 7 cities</t>
        </is>
      </c>
      <c r="K26" s="6" t="inlineStr">
        <is>
          <t>Done</t>
        </is>
      </c>
    </row>
    <row r="27">
      <c r="A27" s="3" t="inlineStr">
        <is>
          <t>D2</t>
        </is>
      </c>
      <c r="B27" s="4" t="inlineStr">
        <is>
          <t>district, utm_medium, page_url through Silver, Gold model, DDL</t>
        </is>
      </c>
      <c r="C27" s="3" t="inlineStr">
        <is>
          <t>Member 2</t>
        </is>
      </c>
      <c r="D27" s="17" t="n">
        <v>46301</v>
      </c>
      <c r="E27" s="17" t="n">
        <v>46301</v>
      </c>
      <c r="F27" s="3">
        <f>E27-D27+1</f>
        <v/>
      </c>
      <c r="G27" s="6" t="n">
        <v>5</v>
      </c>
      <c r="H27" s="3" t="inlineStr">
        <is>
          <t>D1, C3</t>
        </is>
      </c>
      <c r="I27" s="3" t="inlineStr">
        <is>
          <t>Build</t>
        </is>
      </c>
      <c r="J27" s="4" t="inlineStr">
        <is>
          <t>Real workspace recreated and republished</t>
        </is>
      </c>
      <c r="K27" s="6" t="inlineStr">
        <is>
          <t>Done</t>
        </is>
      </c>
    </row>
    <row r="28">
      <c r="A28" s="3" t="inlineStr">
        <is>
          <t>DEMO</t>
        </is>
      </c>
      <c r="B28" s="4" t="inlineStr">
        <is>
          <t>Live demo tooling: --show, universe seed, watch_demo and stop_demo</t>
        </is>
      </c>
      <c r="C28" s="3" t="inlineStr">
        <is>
          <t>Member 5</t>
        </is>
      </c>
      <c r="D28" s="17" t="n">
        <v>46303</v>
      </c>
      <c r="E28" s="17" t="n">
        <v>46303</v>
      </c>
      <c r="F28" s="3">
        <f>E28-D28+1</f>
        <v/>
      </c>
      <c r="G28" s="6" t="n">
        <v>4</v>
      </c>
      <c r="H28" s="3" t="inlineStr">
        <is>
          <t>T6, T7, T8</t>
        </is>
      </c>
      <c r="I28" s="3" t="inlineStr">
        <is>
          <t>Build</t>
        </is>
      </c>
      <c r="J28" s="4" t="inlineStr">
        <is>
          <t>Four windows: Kafka, Bronze, Silver, generator</t>
        </is>
      </c>
      <c r="K28" s="6" t="inlineStr">
        <is>
          <t>Done</t>
        </is>
      </c>
    </row>
    <row r="29">
      <c r="A29" s="3" t="inlineStr">
        <is>
          <t>G1</t>
        </is>
      </c>
      <c r="B29" s="4" t="inlineStr">
        <is>
          <t>Live and health tables in Postgres, combined Bronze+Silver job</t>
        </is>
      </c>
      <c r="C29" s="3" t="inlineStr">
        <is>
          <t>Member 2</t>
        </is>
      </c>
      <c r="D29" s="17" t="n">
        <v>46303</v>
      </c>
      <c r="E29" s="17" t="n">
        <v>46303</v>
      </c>
      <c r="F29" s="3">
        <f>E29-D29+1</f>
        <v/>
      </c>
      <c r="G29" s="6" t="n">
        <v>8</v>
      </c>
      <c r="H29" s="3" t="inlineStr">
        <is>
          <t>C3, T8</t>
        </is>
      </c>
      <c r="I29" s="3" t="inlineStr">
        <is>
          <t>Build</t>
        </is>
      </c>
      <c r="J29" s="4" t="inlineStr">
        <is>
          <t>Review fixes done; full Docker suite re-run pending</t>
        </is>
      </c>
      <c r="K29" s="6" t="inlineStr">
        <is>
          <t>Done</t>
        </is>
      </c>
    </row>
    <row r="30">
      <c r="A30" s="3" t="inlineStr">
        <is>
          <t>G2</t>
        </is>
      </c>
      <c r="B30" s="4" t="inlineStr">
        <is>
          <t>Grafana in Compose: dashboard, 3 alert rules, alert sink</t>
        </is>
      </c>
      <c r="C30" s="3" t="inlineStr">
        <is>
          <t>Member 5</t>
        </is>
      </c>
      <c r="D30" s="17" t="n">
        <v>46303</v>
      </c>
      <c r="E30" s="17" t="n">
        <v>46303</v>
      </c>
      <c r="F30" s="3">
        <f>E30-D30+1</f>
        <v/>
      </c>
      <c r="G30" s="6" t="n">
        <v>6</v>
      </c>
      <c r="H30" s="3" t="inlineStr">
        <is>
          <t>G1</t>
        </is>
      </c>
      <c r="I30" s="3" t="inlineStr">
        <is>
          <t>Build</t>
        </is>
      </c>
      <c r="J30" s="4" t="inlineStr">
        <is>
          <t>Live check: 14 panels, all rules fired</t>
        </is>
      </c>
      <c r="K30" s="6" t="inlineStr">
        <is>
          <t>Done</t>
        </is>
      </c>
    </row>
    <row r="31">
      <c r="A31" s="3" t="inlineStr">
        <is>
          <t>T13</t>
        </is>
      </c>
      <c r="B31" s="4" t="inlineStr">
        <is>
          <t>Attribution (last touch, first touch) as Gold SQL step</t>
        </is>
      </c>
      <c r="C31" s="3" t="inlineStr">
        <is>
          <t>Member 4</t>
        </is>
      </c>
      <c r="D31" s="17" t="n">
        <v>46303</v>
      </c>
      <c r="E31" s="17" t="n">
        <v>46303</v>
      </c>
      <c r="F31" s="3">
        <f>E31-D31+1</f>
        <v/>
      </c>
      <c r="G31" s="6" t="n">
        <v>4</v>
      </c>
      <c r="H31" s="3" t="inlineStr">
        <is>
          <t>T10c</t>
        </is>
      </c>
      <c r="I31" s="3" t="inlineStr">
        <is>
          <t>Build</t>
        </is>
      </c>
      <c r="J31" s="4" t="inlineStr">
        <is>
          <t>Real run 0 mismatches; 4 Spark tests in a fix round</t>
        </is>
      </c>
      <c r="K31" s="6" t="inlineStr">
        <is>
          <t>In progress</t>
        </is>
      </c>
    </row>
    <row r="32">
      <c r="A32" s="3" t="inlineStr">
        <is>
          <t>T12</t>
        </is>
      </c>
      <c r="B32" s="4" t="inlineStr">
        <is>
          <t>agg_campaign_daily: CPA, cost per delivered order, rates</t>
        </is>
      </c>
      <c r="C32" s="3" t="inlineStr">
        <is>
          <t>Member 4</t>
        </is>
      </c>
      <c r="D32" s="17" t="n">
        <v>46304</v>
      </c>
      <c r="E32" s="17" t="n">
        <v>46305</v>
      </c>
      <c r="F32" s="3">
        <f>E32-D32+1</f>
        <v/>
      </c>
      <c r="G32" s="6" t="n">
        <v>6</v>
      </c>
      <c r="H32" s="3" t="inlineStr">
        <is>
          <t>T13, AD</t>
        </is>
      </c>
      <c r="I32" s="3" t="inlineStr">
        <is>
          <t>Build</t>
        </is>
      </c>
      <c r="J32" s="4" t="inlineStr">
        <is>
          <t>Last touch; platform conversions beside orders</t>
        </is>
      </c>
      <c r="K32" s="6" t="inlineStr">
        <is>
          <t>To do</t>
        </is>
      </c>
    </row>
    <row r="33">
      <c r="A33" s="3" t="inlineStr">
        <is>
          <t>T14</t>
        </is>
      </c>
      <c r="B33" s="4" t="inlineStr">
        <is>
          <t>agg_city_product_daily (rec_product is cut first)</t>
        </is>
      </c>
      <c r="C33" s="3" t="inlineStr">
        <is>
          <t>Member 4</t>
        </is>
      </c>
      <c r="D33" s="17" t="n">
        <v>46305</v>
      </c>
      <c r="E33" s="17" t="n">
        <v>46305</v>
      </c>
      <c r="F33" s="3">
        <f>E33-D33+1</f>
        <v/>
      </c>
      <c r="G33" s="6" t="n">
        <v>4</v>
      </c>
      <c r="H33" s="3" t="inlineStr">
        <is>
          <t>T10c</t>
        </is>
      </c>
      <c r="I33" s="3" t="inlineStr">
        <is>
          <t>Build</t>
        </is>
      </c>
      <c r="J33" s="4" t="inlineStr">
        <is>
          <t>Distinct sessions</t>
        </is>
      </c>
      <c r="K33" s="6" t="inlineStr">
        <is>
          <t>To do</t>
        </is>
      </c>
    </row>
    <row r="34">
      <c r="A34" s="3" t="inlineStr">
        <is>
          <t>T15</t>
        </is>
      </c>
      <c r="B34" s="4" t="inlineStr">
        <is>
          <t>Batch runner script: publish, Gold build, checks</t>
        </is>
      </c>
      <c r="C34" s="3" t="inlineStr">
        <is>
          <t>Member 4</t>
        </is>
      </c>
      <c r="D34" s="17" t="n">
        <v>46305</v>
      </c>
      <c r="E34" s="17" t="n">
        <v>46306</v>
      </c>
      <c r="F34" s="3">
        <f>E34-D34+1</f>
        <v/>
      </c>
      <c r="G34" s="6" t="n">
        <v>6</v>
      </c>
      <c r="H34" s="3" t="inlineStr">
        <is>
          <t>T12, T14</t>
        </is>
      </c>
      <c r="I34" s="3" t="inlineStr">
        <is>
          <t>Build</t>
        </is>
      </c>
      <c r="J34" s="4" t="inlineStr">
        <is>
          <t>Python is primary; DAG for ad report exists</t>
        </is>
      </c>
      <c r="K34" s="6" t="inlineStr">
        <is>
          <t>To do</t>
        </is>
      </c>
    </row>
    <row r="35">
      <c r="A35" s="3" t="inlineStr">
        <is>
          <t>T16</t>
        </is>
      </c>
      <c r="B35" s="4" t="inlineStr">
        <is>
          <t>SQL checks: the five most important plus manifest check</t>
        </is>
      </c>
      <c r="C35" s="3" t="inlineStr">
        <is>
          <t>Member 5</t>
        </is>
      </c>
      <c r="D35" s="17" t="n">
        <v>46305</v>
      </c>
      <c r="E35" s="17" t="n">
        <v>46306</v>
      </c>
      <c r="F35" s="3">
        <f>E35-D35+1</f>
        <v/>
      </c>
      <c r="G35" s="6" t="n">
        <v>6</v>
      </c>
      <c r="H35" s="3" t="inlineStr">
        <is>
          <t>T10c, T13</t>
        </is>
      </c>
      <c r="I35" s="3" t="inlineStr">
        <is>
          <t>Build</t>
        </is>
      </c>
      <c r="J35" s="4" t="inlineStr">
        <is>
          <t>Fail blocks the Power BI refresh</t>
        </is>
      </c>
      <c r="K35" s="6" t="inlineStr">
        <is>
          <t>To do</t>
        </is>
      </c>
    </row>
    <row r="36">
      <c r="A36" s="3" t="inlineStr">
        <is>
          <t>G3</t>
        </is>
      </c>
      <c r="B36" s="4" t="inlineStr">
        <is>
          <t>Failure demo with Grafana: kill Silver, alert, restart, no duplicates</t>
        </is>
      </c>
      <c r="C36" s="3" t="inlineStr">
        <is>
          <t>Member 5</t>
        </is>
      </c>
      <c r="D36" s="17" t="n">
        <v>46306</v>
      </c>
      <c r="E36" s="17" t="n">
        <v>46306</v>
      </c>
      <c r="F36" s="3">
        <f>E36-D36+1</f>
        <v/>
      </c>
      <c r="G36" s="6" t="n">
        <v>4</v>
      </c>
      <c r="H36" s="3" t="inlineStr">
        <is>
          <t>G2, T16</t>
        </is>
      </c>
      <c r="I36" s="3" t="inlineStr">
        <is>
          <t>Build</t>
        </is>
      </c>
      <c r="J36" s="4" t="inlineStr">
        <is>
          <t>Best live moment for the defense</t>
        </is>
      </c>
      <c r="K36" s="6" t="inlineStr">
        <is>
          <t>To do</t>
        </is>
      </c>
    </row>
    <row r="37">
      <c r="A37" s="3" t="inlineStr">
        <is>
          <t>T17</t>
        </is>
      </c>
      <c r="B37" s="4" t="inlineStr">
        <is>
          <t>Samples, benchmark, README</t>
        </is>
      </c>
      <c r="C37" s="3" t="inlineStr">
        <is>
          <t>Member 5</t>
        </is>
      </c>
      <c r="D37" s="17" t="n">
        <v>46306</v>
      </c>
      <c r="E37" s="17" t="n">
        <v>46307</v>
      </c>
      <c r="F37" s="3">
        <f>E37-D37+1</f>
        <v/>
      </c>
      <c r="G37" s="6" t="n">
        <v>6</v>
      </c>
      <c r="H37" s="3" t="inlineStr">
        <is>
          <t>T8, T10c</t>
        </is>
      </c>
      <c r="I37" s="3" t="inlineStr">
        <is>
          <t>Build</t>
        </is>
      </c>
      <c r="J37" s="4" t="inlineStr">
        <is>
          <t>Run 1-2M events once</t>
        </is>
      </c>
      <c r="K37" s="6" t="inlineStr">
        <is>
          <t>To do</t>
        </is>
      </c>
    </row>
    <row r="38">
      <c r="A38" s="3" t="inlineStr">
        <is>
          <t>T18</t>
        </is>
      </c>
      <c r="B38" s="4" t="inlineStr">
        <is>
          <t>Power BI model and pages (Campaign and Funnel first)</t>
        </is>
      </c>
      <c r="C38" s="3" t="inlineStr">
        <is>
          <t>Member 1</t>
        </is>
      </c>
      <c r="D38" s="17" t="n">
        <v>46306</v>
      </c>
      <c r="E38" s="17" t="n">
        <v>46307</v>
      </c>
      <c r="F38" s="3">
        <f>E38-D38+1</f>
        <v/>
      </c>
      <c r="G38" s="6" t="n">
        <v>10</v>
      </c>
      <c r="H38" s="3" t="inlineStr">
        <is>
          <t>T10c, T12</t>
        </is>
      </c>
      <c r="I38" s="3" t="inlineStr">
        <is>
          <t>Build</t>
        </is>
      </c>
      <c r="J38" s="4" t="inlineStr">
        <is>
          <t>Read-only token; extra pages only if time</t>
        </is>
      </c>
      <c r="K38" s="6" t="inlineStr">
        <is>
          <t>To do</t>
        </is>
      </c>
    </row>
    <row r="39">
      <c r="A39" s="3" t="inlineStr">
        <is>
          <t>T19</t>
        </is>
      </c>
      <c r="B39" s="4" t="inlineStr">
        <is>
          <t>Customer 360 table and page (STRETCH)</t>
        </is>
      </c>
      <c r="C39" s="3" t="inlineStr">
        <is>
          <t>Member 4</t>
        </is>
      </c>
      <c r="D39" s="17" t="n">
        <v>46307</v>
      </c>
      <c r="E39" s="17" t="n">
        <v>46307</v>
      </c>
      <c r="F39" s="3">
        <f>E39-D39+1</f>
        <v/>
      </c>
      <c r="G39" s="6" t="n">
        <v>4</v>
      </c>
      <c r="H39" s="3" t="inlineStr">
        <is>
          <t>T13</t>
        </is>
      </c>
      <c r="I39" s="3" t="inlineStr">
        <is>
          <t>Stretch</t>
        </is>
      </c>
      <c r="J39" s="4" t="inlineStr">
        <is>
          <t>Cut first if late</t>
        </is>
      </c>
      <c r="K39" s="6" t="inlineStr">
        <is>
          <t>To do</t>
        </is>
      </c>
    </row>
    <row r="40">
      <c r="A40" s="3" t="inlineStr">
        <is>
          <t>DOC</t>
        </is>
      </c>
      <c r="B40" s="4" t="inlineStr">
        <is>
          <t>Refresh PDF, deck, README screenshots</t>
        </is>
      </c>
      <c r="C40" s="3" t="inlineStr">
        <is>
          <t>Member 5</t>
        </is>
      </c>
      <c r="D40" s="17" t="n">
        <v>46307</v>
      </c>
      <c r="E40" s="17" t="n">
        <v>46307</v>
      </c>
      <c r="F40" s="3">
        <f>E40-D40+1</f>
        <v/>
      </c>
      <c r="G40" s="6" t="n">
        <v>6</v>
      </c>
      <c r="H40" s="3" t="inlineStr">
        <is>
          <t>G3, T18</t>
        </is>
      </c>
      <c r="I40" s="3" t="inlineStr">
        <is>
          <t>Build</t>
        </is>
      </c>
      <c r="J40" s="4" t="inlineStr">
        <is>
          <t>Documents are still from 5 Oct</t>
        </is>
      </c>
      <c r="K40" s="6" t="inlineStr">
        <is>
          <t>To do</t>
        </is>
      </c>
    </row>
    <row r="41">
      <c r="A41" s="3" t="inlineStr">
        <is>
          <t>M1</t>
        </is>
      </c>
      <c r="B41" s="4" t="inlineStr">
        <is>
          <t>Integration: Kafka to Silver to Postgres/Grafana and Databricks Gold</t>
        </is>
      </c>
      <c r="C41" s="3" t="inlineStr">
        <is>
          <t>All</t>
        </is>
      </c>
      <c r="D41" s="17" t="n">
        <v>46303</v>
      </c>
      <c r="E41" s="17" t="n">
        <v>46303</v>
      </c>
      <c r="F41" s="3">
        <f>E41-D41+1</f>
        <v/>
      </c>
      <c r="G41" s="6" t="n">
        <v>0</v>
      </c>
      <c r="H41" s="3" t="inlineStr">
        <is>
          <t>T10c, G1</t>
        </is>
      </c>
      <c r="I41" s="3" t="inlineStr">
        <is>
          <t>Integration</t>
        </is>
      </c>
      <c r="J41" s="4" t="inlineStr">
        <is>
          <t>Verified live on 8 Oct</t>
        </is>
      </c>
      <c r="K41" s="6" t="inlineStr">
        <is>
          <t>Done</t>
        </is>
      </c>
    </row>
    <row r="42">
      <c r="A42" s="3" t="inlineStr">
        <is>
          <t>M2</t>
        </is>
      </c>
      <c r="B42" s="4" t="inlineStr">
        <is>
          <t>Failure demo, 1-2M run, benchmark recorded</t>
        </is>
      </c>
      <c r="C42" s="3" t="inlineStr">
        <is>
          <t>All</t>
        </is>
      </c>
      <c r="D42" s="17" t="n">
        <v>46307</v>
      </c>
      <c r="E42" s="17" t="n">
        <v>46307</v>
      </c>
      <c r="F42" s="3">
        <f>E42-D42+1</f>
        <v/>
      </c>
      <c r="G42" s="6" t="n">
        <v>0</v>
      </c>
      <c r="H42" s="3" t="inlineStr">
        <is>
          <t>G3, T17</t>
        </is>
      </c>
      <c r="I42" s="3" t="inlineStr">
        <is>
          <t>Integration</t>
        </is>
      </c>
      <c r="J42" s="4" t="inlineStr">
        <is>
          <t>Team session</t>
        </is>
      </c>
      <c r="K42" s="6" t="inlineStr">
        <is>
          <t>To do</t>
        </is>
      </c>
    </row>
    <row r="43">
      <c r="A43" s="3" t="inlineStr">
        <is>
          <t>M3</t>
        </is>
      </c>
      <c r="B43" s="4" t="inlineStr">
        <is>
          <t>Rehearsal, final deck and PDF check</t>
        </is>
      </c>
      <c r="C43" s="3" t="inlineStr">
        <is>
          <t>All</t>
        </is>
      </c>
      <c r="D43" s="17" t="n">
        <v>46307</v>
      </c>
      <c r="E43" s="17" t="n">
        <v>46307</v>
      </c>
      <c r="F43" s="3">
        <f>E43-D43+1</f>
        <v/>
      </c>
      <c r="G43" s="6" t="n">
        <v>0</v>
      </c>
      <c r="H43" s="3" t="inlineStr">
        <is>
          <t>M2, DOC</t>
        </is>
      </c>
      <c r="I43" s="3" t="inlineStr">
        <is>
          <t>Milestone</t>
        </is>
      </c>
      <c r="J43" s="4" t="inlineStr">
        <is>
          <t>Share links from Share menu</t>
        </is>
      </c>
      <c r="K43" s="6" t="inlineStr">
        <is>
          <t>To do</t>
        </is>
      </c>
    </row>
    <row r="44">
      <c r="A44" s="3" t="inlineStr">
        <is>
          <t>M4</t>
        </is>
      </c>
      <c r="B44" s="4" t="inlineStr">
        <is>
          <t>Defense</t>
        </is>
      </c>
      <c r="C44" s="3" t="inlineStr">
        <is>
          <t>All</t>
        </is>
      </c>
      <c r="D44" s="17" t="n">
        <v>46308</v>
      </c>
      <c r="E44" s="17" t="n">
        <v>46308</v>
      </c>
      <c r="F44" s="3">
        <f>E44-D44+1</f>
        <v/>
      </c>
      <c r="G44" s="6" t="n">
        <v>0</v>
      </c>
      <c r="H44" s="3" t="inlineStr">
        <is>
          <t>M3</t>
        </is>
      </c>
      <c r="I44" s="3" t="inlineStr">
        <is>
          <t>Milestone</t>
        </is>
      </c>
      <c r="J44" s="4" t="n"/>
      <c r="K44" s="6" t="inlineStr">
        <is>
          <t>To do</t>
        </is>
      </c>
    </row>
    <row r="45"/>
    <row r="46">
      <c r="A46" s="7" t="inlineStr">
        <is>
          <t>Assumptions</t>
        </is>
      </c>
    </row>
    <row r="47">
      <c r="A47" s="8" t="inlineStr">
        <is>
          <t>1.</t>
        </is>
      </c>
      <c r="B47" s="8" t="inlineStr">
        <is>
          <t>Productive hours per member per day: 6 (blue input on Team Load sheet).</t>
        </is>
      </c>
    </row>
    <row r="48">
      <c r="A48" s="8" t="inlineStr">
        <is>
          <t>2.</t>
        </is>
      </c>
      <c r="B48" s="8" t="inlineStr">
        <is>
          <t>Hours are focused build time, not calendar time. Hours of Done tasks are the original estimates, not measured time. Integration and milestone rows (owner All) carry no hours and are excluded from Team Load.</t>
        </is>
      </c>
    </row>
    <row r="49">
      <c r="A49" s="8" t="inlineStr">
        <is>
          <t>3.</t>
        </is>
      </c>
      <c r="B49" s="8" t="inlineStr">
        <is>
          <t>Blue text = inputs you can change. Black = formulas.</t>
        </is>
      </c>
    </row>
    <row r="50">
      <c r="A50" s="8" t="inlineStr">
        <is>
          <t>4.</t>
        </is>
      </c>
      <c r="B50" s="8" t="inlineStr">
        <is>
          <t>T19 is stretch: drop it first. Cut order after that: rec_product and customer_360, the SQL checks beyond the five key ones, Power BI pages beyond Campaign and Funnel. Never cut: attribution (T13), campaign summaries (T12), Grafana (G2) and the failure demo (G3).</t>
        </is>
      </c>
    </row>
    <row r="51">
      <c r="A51" s="8" t="inlineStr">
        <is>
          <t>5.</t>
        </is>
      </c>
      <c r="B51" s="8" t="inlineStr">
        <is>
          <t>Spark runs in Docker (Python 3.11 and Java 17 are inside the image); the host needs Python 3.11 only. Status column is an input (blue): Done, In progress, To do.</t>
        </is>
      </c>
    </row>
    <row r="52">
      <c r="A52" s="8" t="inlineStr">
        <is>
          <t>6.</t>
        </is>
      </c>
      <c r="B52" s="8" t="inlineStr">
        <is>
          <t>T0 was a human step: Databricks workspace, SQL warehouse and token. The token stays in .env only.</t>
        </is>
      </c>
    </row>
    <row r="53">
      <c r="A53" s="8" t="inlineStr">
        <is>
          <t>7.</t>
        </is>
      </c>
      <c r="B53" s="8" t="inlineStr">
        <is>
          <t>Decision date 10 Oct: batch entry point is a Python script (T15). The Airflow DAG exists for the daily ad report only.</t>
        </is>
      </c>
    </row>
    <row r="54">
      <c r="A54" s="8" t="inlineStr">
        <is>
          <t>8.</t>
        </is>
      </c>
      <c r="B54" s="8" t="inlineStr">
        <is>
          <t>Tasks C1-C4, AD, D1, D2, DEMO, G1, G2 were added after the 4 Oct plan (external review, address and tracking URL, live monitoring).</t>
        </is>
      </c>
    </row>
    <row r="55"/>
    <row r="56"/>
    <row r="57"/>
    <row r="58"/>
    <row r="59"/>
    <row r="60"/>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cols>
    <col width="14" customWidth="1" min="1" max="1"/>
    <col width="9" customWidth="1" min="2" max="2"/>
    <col width="15" customWidth="1" min="3" max="3"/>
    <col width="17" customWidth="1" min="4" max="4"/>
    <col width="10" customWidth="1" min="5" max="5"/>
    <col width="15" customWidth="1" min="6" max="6"/>
    <col width="28" customWidth="1" min="8" max="8"/>
    <col width="8" customWidth="1" min="9" max="9"/>
  </cols>
  <sheetData>
    <row r="1">
      <c r="A1" s="9" t="inlineStr">
        <is>
          <t>Team load per member</t>
        </is>
      </c>
    </row>
    <row r="2">
      <c r="H2" s="8" t="inlineStr">
        <is>
          <t>Productive hours per day</t>
        </is>
      </c>
      <c r="I2" s="10" t="n">
        <v>6</v>
      </c>
    </row>
    <row r="3">
      <c r="A3" s="11" t="inlineStr">
        <is>
          <t>Member</t>
        </is>
      </c>
      <c r="B3" s="11" t="inlineStr">
        <is>
          <t>Tasks</t>
        </is>
      </c>
      <c r="C3" s="11" t="inlineStr">
        <is>
          <t>Hours assigned</t>
        </is>
      </c>
      <c r="D3" s="11" t="inlineStr">
        <is>
          <t>Capacity (hours)</t>
        </is>
      </c>
      <c r="E3" s="11" t="inlineStr">
        <is>
          <t>Load %</t>
        </is>
      </c>
      <c r="F3" s="11" t="inlineStr">
        <is>
          <t>Status</t>
        </is>
      </c>
      <c r="H3" s="8" t="inlineStr">
        <is>
          <t>Working days (4-12 Oct)</t>
        </is>
      </c>
      <c r="I3" s="10" t="n">
        <v>9</v>
      </c>
    </row>
    <row r="4">
      <c r="A4" s="12" t="inlineStr">
        <is>
          <t>Member 1</t>
        </is>
      </c>
      <c r="B4" s="12">
        <f>COUNTIF('Sprint Plan'!$C$4:$C$44,A4)</f>
        <v/>
      </c>
      <c r="C4" s="12">
        <f>SUMIF('Sprint Plan'!$C$4:$C$44,A4,'Sprint Plan'!$G$4:$G$44)</f>
        <v/>
      </c>
      <c r="D4" s="12">
        <f>$I$2*$I$3</f>
        <v/>
      </c>
      <c r="E4" s="13">
        <f>C4/D4</f>
        <v/>
      </c>
      <c r="F4" s="12">
        <f>IF(E4&gt;1,"Over capacity",IF(E4&gt;0.8,"Tight","OK"))</f>
        <v/>
      </c>
    </row>
    <row r="5">
      <c r="A5" s="12" t="inlineStr">
        <is>
          <t>Member 2</t>
        </is>
      </c>
      <c r="B5" s="12">
        <f>COUNTIF('Sprint Plan'!$C$4:$C$44,A5)</f>
        <v/>
      </c>
      <c r="C5" s="12">
        <f>SUMIF('Sprint Plan'!$C$4:$C$44,A5,'Sprint Plan'!$G$4:$G$44)</f>
        <v/>
      </c>
      <c r="D5" s="12">
        <f>$I$2*$I$3</f>
        <v/>
      </c>
      <c r="E5" s="13">
        <f>C5/D5</f>
        <v/>
      </c>
      <c r="F5" s="12">
        <f>IF(E5&gt;1,"Over capacity",IF(E5&gt;0.8,"Tight","OK"))</f>
        <v/>
      </c>
      <c r="H5" s="8" t="inlineStr">
        <is>
          <t>Progress (all rows of Sprint Plan)</t>
        </is>
      </c>
    </row>
    <row r="6">
      <c r="A6" s="12" t="inlineStr">
        <is>
          <t>Member 3</t>
        </is>
      </c>
      <c r="B6" s="12">
        <f>COUNTIF('Sprint Plan'!$C$4:$C$44,A6)</f>
        <v/>
      </c>
      <c r="C6" s="12">
        <f>SUMIF('Sprint Plan'!$C$4:$C$44,A6,'Sprint Plan'!$G$4:$G$44)</f>
        <v/>
      </c>
      <c r="D6" s="12">
        <f>$I$2*$I$3</f>
        <v/>
      </c>
      <c r="E6" s="13">
        <f>C6/D6</f>
        <v/>
      </c>
      <c r="F6" s="12">
        <f>IF(E6&gt;1,"Over capacity",IF(E6&gt;0.8,"Tight","OK"))</f>
        <v/>
      </c>
      <c r="H6" s="8" t="inlineStr">
        <is>
          <t>Tasks Done</t>
        </is>
      </c>
      <c r="I6" s="18">
        <f>COUNTIF('Sprint Plan'!$K$4:$K$44,"Done")</f>
        <v/>
      </c>
    </row>
    <row r="7">
      <c r="A7" s="12" t="inlineStr">
        <is>
          <t>Member 4</t>
        </is>
      </c>
      <c r="B7" s="12">
        <f>COUNTIF('Sprint Plan'!$C$4:$C$44,A7)</f>
        <v/>
      </c>
      <c r="C7" s="12">
        <f>SUMIF('Sprint Plan'!$C$4:$C$44,A7,'Sprint Plan'!$G$4:$G$44)</f>
        <v/>
      </c>
      <c r="D7" s="12">
        <f>$I$2*$I$3</f>
        <v/>
      </c>
      <c r="E7" s="13">
        <f>C7/D7</f>
        <v/>
      </c>
      <c r="F7" s="12">
        <f>IF(E7&gt;1,"Over capacity",IF(E7&gt;0.8,"Tight","OK"))</f>
        <v/>
      </c>
      <c r="H7" s="8" t="inlineStr">
        <is>
          <t>Tasks In progress</t>
        </is>
      </c>
      <c r="I7" s="18">
        <f>COUNTIF('Sprint Plan'!$K$4:$K$44,"In progress")</f>
        <v/>
      </c>
    </row>
    <row r="8">
      <c r="A8" s="12" t="inlineStr">
        <is>
          <t>Member 5</t>
        </is>
      </c>
      <c r="B8" s="12">
        <f>COUNTIF('Sprint Plan'!$C$4:$C$44,A8)</f>
        <v/>
      </c>
      <c r="C8" s="12">
        <f>SUMIF('Sprint Plan'!$C$4:$C$44,A8,'Sprint Plan'!$G$4:$G$44)</f>
        <v/>
      </c>
      <c r="D8" s="12">
        <f>$I$2*$I$3</f>
        <v/>
      </c>
      <c r="E8" s="13">
        <f>C8/D8</f>
        <v/>
      </c>
      <c r="F8" s="12">
        <f>IF(E8&gt;1,"Over capacity",IF(E8&gt;0.8,"Tight","OK"))</f>
        <v/>
      </c>
      <c r="H8" s="8" t="inlineStr">
        <is>
          <t>Tasks To do</t>
        </is>
      </c>
      <c r="I8" s="18">
        <f>COUNTIF('Sprint Plan'!$K$4:$K$44,"To do")</f>
        <v/>
      </c>
    </row>
    <row r="9">
      <c r="A9" s="7" t="inlineStr">
        <is>
          <t>Team total</t>
        </is>
      </c>
      <c r="B9" s="14">
        <f>SUM(B4:B8)</f>
        <v/>
      </c>
      <c r="C9" s="14">
        <f>SUM(C4:C8)</f>
        <v/>
      </c>
      <c r="H9" s="8" t="inlineStr">
        <is>
          <t>Hours Done</t>
        </is>
      </c>
      <c r="I9" s="18">
        <f>SUMIF('Sprint Plan'!$K$4:$K$44,"Done",'Sprint Plan'!$G$4:$G$44)</f>
        <v/>
      </c>
    </row>
    <row r="10">
      <c r="H10" s="8" t="inlineStr">
        <is>
          <t>Hours total</t>
        </is>
      </c>
      <c r="I10" s="18">
        <f>SUM('Sprint Plan'!$G$4:$G$44)</f>
        <v/>
      </c>
    </row>
    <row r="11">
      <c r="H11" s="8" t="inlineStr">
        <is>
          <t>Hours Done %</t>
        </is>
      </c>
      <c r="I11" s="19">
        <f>I8/I9</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0"/>
  <sheetViews>
    <sheetView workbookViewId="0">
      <pane xSplit="3" ySplit="3" topLeftCell="D4"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7" customWidth="1" min="1" max="1"/>
    <col width="50" customWidth="1" min="2" max="2"/>
    <col width="11"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s>
  <sheetData>
    <row r="1">
      <c r="A1" s="9" t="inlineStr">
        <is>
          <t>Timeline: coloured cells show each task's days (yellow = milestones)</t>
        </is>
      </c>
    </row>
    <row r="3">
      <c r="A3" s="11" t="inlineStr">
        <is>
          <t>ID</t>
        </is>
      </c>
      <c r="B3" s="11" t="inlineStr">
        <is>
          <t>Task</t>
        </is>
      </c>
      <c r="C3" s="11" t="inlineStr">
        <is>
          <t>Owner</t>
        </is>
      </c>
      <c r="D3" s="20" t="n">
        <v>46299</v>
      </c>
      <c r="E3" s="20" t="n">
        <v>46300</v>
      </c>
      <c r="F3" s="20" t="n">
        <v>46301</v>
      </c>
      <c r="G3" s="20" t="n">
        <v>46302</v>
      </c>
      <c r="H3" s="20" t="n">
        <v>46303</v>
      </c>
      <c r="I3" s="20" t="n">
        <v>46304</v>
      </c>
      <c r="J3" s="20" t="n">
        <v>46305</v>
      </c>
      <c r="K3" s="20" t="n">
        <v>46306</v>
      </c>
      <c r="L3" s="20" t="n">
        <v>46307</v>
      </c>
      <c r="M3" s="20" t="n">
        <v>46308</v>
      </c>
    </row>
    <row r="4">
      <c r="A4" s="8">
        <f>'Sprint Plan'!A4</f>
        <v/>
      </c>
      <c r="B4" s="8">
        <f>'Sprint Plan'!B4</f>
        <v/>
      </c>
      <c r="C4" s="8">
        <f>'Sprint Plan'!C4</f>
        <v/>
      </c>
      <c r="D4" s="21">
        <f>IF(AND(D$3&gt;='Sprint Plan'!$D4,D$3&lt;='Sprint Plan'!$E4),1,"")</f>
        <v/>
      </c>
      <c r="E4" s="21">
        <f>IF(AND(E$3&gt;='Sprint Plan'!$D4,E$3&lt;='Sprint Plan'!$E4),1,"")</f>
        <v/>
      </c>
      <c r="F4" s="21">
        <f>IF(AND(F$3&gt;='Sprint Plan'!$D4,F$3&lt;='Sprint Plan'!$E4),1,"")</f>
        <v/>
      </c>
      <c r="G4" s="21">
        <f>IF(AND(G$3&gt;='Sprint Plan'!$D4,G$3&lt;='Sprint Plan'!$E4),1,"")</f>
        <v/>
      </c>
      <c r="H4" s="21">
        <f>IF(AND(H$3&gt;='Sprint Plan'!$D4,H$3&lt;='Sprint Plan'!$E4),1,"")</f>
        <v/>
      </c>
      <c r="I4" s="21">
        <f>IF(AND(I$3&gt;='Sprint Plan'!$D4,I$3&lt;='Sprint Plan'!$E4),1,"")</f>
        <v/>
      </c>
      <c r="J4" s="21">
        <f>IF(AND(J$3&gt;='Sprint Plan'!$D4,J$3&lt;='Sprint Plan'!$E4),1,"")</f>
        <v/>
      </c>
      <c r="K4" s="21">
        <f>IF(AND(K$3&gt;='Sprint Plan'!$D4,K$3&lt;='Sprint Plan'!$E4),1,"")</f>
        <v/>
      </c>
      <c r="L4" s="21">
        <f>IF(AND(L$3&gt;='Sprint Plan'!$D4,L$3&lt;='Sprint Plan'!$E4),1,"")</f>
        <v/>
      </c>
      <c r="M4" s="21">
        <f>IF(AND(M$3&gt;='Sprint Plan'!$D4,M$3&lt;='Sprint Plan'!$E4),1,"")</f>
        <v/>
      </c>
    </row>
    <row r="5">
      <c r="A5" s="8">
        <f>'Sprint Plan'!A5</f>
        <v/>
      </c>
      <c r="B5" s="8">
        <f>'Sprint Plan'!B5</f>
        <v/>
      </c>
      <c r="C5" s="8">
        <f>'Sprint Plan'!C5</f>
        <v/>
      </c>
      <c r="D5" s="21">
        <f>IF(AND(D$3&gt;='Sprint Plan'!$D5,D$3&lt;='Sprint Plan'!$E5),1,"")</f>
        <v/>
      </c>
      <c r="E5" s="21">
        <f>IF(AND(E$3&gt;='Sprint Plan'!$D5,E$3&lt;='Sprint Plan'!$E5),1,"")</f>
        <v/>
      </c>
      <c r="F5" s="21">
        <f>IF(AND(F$3&gt;='Sprint Plan'!$D5,F$3&lt;='Sprint Plan'!$E5),1,"")</f>
        <v/>
      </c>
      <c r="G5" s="21">
        <f>IF(AND(G$3&gt;='Sprint Plan'!$D5,G$3&lt;='Sprint Plan'!$E5),1,"")</f>
        <v/>
      </c>
      <c r="H5" s="21">
        <f>IF(AND(H$3&gt;='Sprint Plan'!$D5,H$3&lt;='Sprint Plan'!$E5),1,"")</f>
        <v/>
      </c>
      <c r="I5" s="21">
        <f>IF(AND(I$3&gt;='Sprint Plan'!$D5,I$3&lt;='Sprint Plan'!$E5),1,"")</f>
        <v/>
      </c>
      <c r="J5" s="21">
        <f>IF(AND(J$3&gt;='Sprint Plan'!$D5,J$3&lt;='Sprint Plan'!$E5),1,"")</f>
        <v/>
      </c>
      <c r="K5" s="21">
        <f>IF(AND(K$3&gt;='Sprint Plan'!$D5,K$3&lt;='Sprint Plan'!$E5),1,"")</f>
        <v/>
      </c>
      <c r="L5" s="21">
        <f>IF(AND(L$3&gt;='Sprint Plan'!$D5,L$3&lt;='Sprint Plan'!$E5),1,"")</f>
        <v/>
      </c>
      <c r="M5" s="21">
        <f>IF(AND(M$3&gt;='Sprint Plan'!$D5,M$3&lt;='Sprint Plan'!$E5),1,"")</f>
        <v/>
      </c>
    </row>
    <row r="6">
      <c r="A6" s="8">
        <f>'Sprint Plan'!A6</f>
        <v/>
      </c>
      <c r="B6" s="8">
        <f>'Sprint Plan'!B6</f>
        <v/>
      </c>
      <c r="C6" s="8">
        <f>'Sprint Plan'!C6</f>
        <v/>
      </c>
      <c r="D6" s="21">
        <f>IF(AND(D$3&gt;='Sprint Plan'!$D6,D$3&lt;='Sprint Plan'!$E6),1,"")</f>
        <v/>
      </c>
      <c r="E6" s="21">
        <f>IF(AND(E$3&gt;='Sprint Plan'!$D6,E$3&lt;='Sprint Plan'!$E6),1,"")</f>
        <v/>
      </c>
      <c r="F6" s="21">
        <f>IF(AND(F$3&gt;='Sprint Plan'!$D6,F$3&lt;='Sprint Plan'!$E6),1,"")</f>
        <v/>
      </c>
      <c r="G6" s="21">
        <f>IF(AND(G$3&gt;='Sprint Plan'!$D6,G$3&lt;='Sprint Plan'!$E6),1,"")</f>
        <v/>
      </c>
      <c r="H6" s="21">
        <f>IF(AND(H$3&gt;='Sprint Plan'!$D6,H$3&lt;='Sprint Plan'!$E6),1,"")</f>
        <v/>
      </c>
      <c r="I6" s="21">
        <f>IF(AND(I$3&gt;='Sprint Plan'!$D6,I$3&lt;='Sprint Plan'!$E6),1,"")</f>
        <v/>
      </c>
      <c r="J6" s="21">
        <f>IF(AND(J$3&gt;='Sprint Plan'!$D6,J$3&lt;='Sprint Plan'!$E6),1,"")</f>
        <v/>
      </c>
      <c r="K6" s="21">
        <f>IF(AND(K$3&gt;='Sprint Plan'!$D6,K$3&lt;='Sprint Plan'!$E6),1,"")</f>
        <v/>
      </c>
      <c r="L6" s="21">
        <f>IF(AND(L$3&gt;='Sprint Plan'!$D6,L$3&lt;='Sprint Plan'!$E6),1,"")</f>
        <v/>
      </c>
      <c r="M6" s="21">
        <f>IF(AND(M$3&gt;='Sprint Plan'!$D6,M$3&lt;='Sprint Plan'!$E6),1,"")</f>
        <v/>
      </c>
    </row>
    <row r="7">
      <c r="A7" s="8">
        <f>'Sprint Plan'!A7</f>
        <v/>
      </c>
      <c r="B7" s="8">
        <f>'Sprint Plan'!B7</f>
        <v/>
      </c>
      <c r="C7" s="8">
        <f>'Sprint Plan'!C7</f>
        <v/>
      </c>
      <c r="D7" s="21">
        <f>IF(AND(D$3&gt;='Sprint Plan'!$D7,D$3&lt;='Sprint Plan'!$E7),1,"")</f>
        <v/>
      </c>
      <c r="E7" s="21">
        <f>IF(AND(E$3&gt;='Sprint Plan'!$D7,E$3&lt;='Sprint Plan'!$E7),1,"")</f>
        <v/>
      </c>
      <c r="F7" s="21">
        <f>IF(AND(F$3&gt;='Sprint Plan'!$D7,F$3&lt;='Sprint Plan'!$E7),1,"")</f>
        <v/>
      </c>
      <c r="G7" s="21">
        <f>IF(AND(G$3&gt;='Sprint Plan'!$D7,G$3&lt;='Sprint Plan'!$E7),1,"")</f>
        <v/>
      </c>
      <c r="H7" s="21">
        <f>IF(AND(H$3&gt;='Sprint Plan'!$D7,H$3&lt;='Sprint Plan'!$E7),1,"")</f>
        <v/>
      </c>
      <c r="I7" s="21">
        <f>IF(AND(I$3&gt;='Sprint Plan'!$D7,I$3&lt;='Sprint Plan'!$E7),1,"")</f>
        <v/>
      </c>
      <c r="J7" s="21">
        <f>IF(AND(J$3&gt;='Sprint Plan'!$D7,J$3&lt;='Sprint Plan'!$E7),1,"")</f>
        <v/>
      </c>
      <c r="K7" s="21">
        <f>IF(AND(K$3&gt;='Sprint Plan'!$D7,K$3&lt;='Sprint Plan'!$E7),1,"")</f>
        <v/>
      </c>
      <c r="L7" s="21">
        <f>IF(AND(L$3&gt;='Sprint Plan'!$D7,L$3&lt;='Sprint Plan'!$E7),1,"")</f>
        <v/>
      </c>
      <c r="M7" s="21">
        <f>IF(AND(M$3&gt;='Sprint Plan'!$D7,M$3&lt;='Sprint Plan'!$E7),1,"")</f>
        <v/>
      </c>
    </row>
    <row r="8">
      <c r="A8" s="8">
        <f>'Sprint Plan'!A8</f>
        <v/>
      </c>
      <c r="B8" s="8">
        <f>'Sprint Plan'!B8</f>
        <v/>
      </c>
      <c r="C8" s="8">
        <f>'Sprint Plan'!C8</f>
        <v/>
      </c>
      <c r="D8" s="21">
        <f>IF(AND(D$3&gt;='Sprint Plan'!$D8,D$3&lt;='Sprint Plan'!$E8),1,"")</f>
        <v/>
      </c>
      <c r="E8" s="21">
        <f>IF(AND(E$3&gt;='Sprint Plan'!$D8,E$3&lt;='Sprint Plan'!$E8),1,"")</f>
        <v/>
      </c>
      <c r="F8" s="21">
        <f>IF(AND(F$3&gt;='Sprint Plan'!$D8,F$3&lt;='Sprint Plan'!$E8),1,"")</f>
        <v/>
      </c>
      <c r="G8" s="21">
        <f>IF(AND(G$3&gt;='Sprint Plan'!$D8,G$3&lt;='Sprint Plan'!$E8),1,"")</f>
        <v/>
      </c>
      <c r="H8" s="21">
        <f>IF(AND(H$3&gt;='Sprint Plan'!$D8,H$3&lt;='Sprint Plan'!$E8),1,"")</f>
        <v/>
      </c>
      <c r="I8" s="21">
        <f>IF(AND(I$3&gt;='Sprint Plan'!$D8,I$3&lt;='Sprint Plan'!$E8),1,"")</f>
        <v/>
      </c>
      <c r="J8" s="21">
        <f>IF(AND(J$3&gt;='Sprint Plan'!$D8,J$3&lt;='Sprint Plan'!$E8),1,"")</f>
        <v/>
      </c>
      <c r="K8" s="21">
        <f>IF(AND(K$3&gt;='Sprint Plan'!$D8,K$3&lt;='Sprint Plan'!$E8),1,"")</f>
        <v/>
      </c>
      <c r="L8" s="21">
        <f>IF(AND(L$3&gt;='Sprint Plan'!$D8,L$3&lt;='Sprint Plan'!$E8),1,"")</f>
        <v/>
      </c>
      <c r="M8" s="21">
        <f>IF(AND(M$3&gt;='Sprint Plan'!$D8,M$3&lt;='Sprint Plan'!$E8),1,"")</f>
        <v/>
      </c>
    </row>
    <row r="9">
      <c r="A9" s="8">
        <f>'Sprint Plan'!A9</f>
        <v/>
      </c>
      <c r="B9" s="8">
        <f>'Sprint Plan'!B9</f>
        <v/>
      </c>
      <c r="C9" s="8">
        <f>'Sprint Plan'!C9</f>
        <v/>
      </c>
      <c r="D9" s="21">
        <f>IF(AND(D$3&gt;='Sprint Plan'!$D9,D$3&lt;='Sprint Plan'!$E9),1,"")</f>
        <v/>
      </c>
      <c r="E9" s="21">
        <f>IF(AND(E$3&gt;='Sprint Plan'!$D9,E$3&lt;='Sprint Plan'!$E9),1,"")</f>
        <v/>
      </c>
      <c r="F9" s="21">
        <f>IF(AND(F$3&gt;='Sprint Plan'!$D9,F$3&lt;='Sprint Plan'!$E9),1,"")</f>
        <v/>
      </c>
      <c r="G9" s="21">
        <f>IF(AND(G$3&gt;='Sprint Plan'!$D9,G$3&lt;='Sprint Plan'!$E9),1,"")</f>
        <v/>
      </c>
      <c r="H9" s="21">
        <f>IF(AND(H$3&gt;='Sprint Plan'!$D9,H$3&lt;='Sprint Plan'!$E9),1,"")</f>
        <v/>
      </c>
      <c r="I9" s="21">
        <f>IF(AND(I$3&gt;='Sprint Plan'!$D9,I$3&lt;='Sprint Plan'!$E9),1,"")</f>
        <v/>
      </c>
      <c r="J9" s="21">
        <f>IF(AND(J$3&gt;='Sprint Plan'!$D9,J$3&lt;='Sprint Plan'!$E9),1,"")</f>
        <v/>
      </c>
      <c r="K9" s="21">
        <f>IF(AND(K$3&gt;='Sprint Plan'!$D9,K$3&lt;='Sprint Plan'!$E9),1,"")</f>
        <v/>
      </c>
      <c r="L9" s="21">
        <f>IF(AND(L$3&gt;='Sprint Plan'!$D9,L$3&lt;='Sprint Plan'!$E9),1,"")</f>
        <v/>
      </c>
      <c r="M9" s="21">
        <f>IF(AND(M$3&gt;='Sprint Plan'!$D9,M$3&lt;='Sprint Plan'!$E9),1,"")</f>
        <v/>
      </c>
    </row>
    <row r="10">
      <c r="A10" s="8">
        <f>'Sprint Plan'!A10</f>
        <v/>
      </c>
      <c r="B10" s="8">
        <f>'Sprint Plan'!B10</f>
        <v/>
      </c>
      <c r="C10" s="8">
        <f>'Sprint Plan'!C10</f>
        <v/>
      </c>
      <c r="D10" s="21">
        <f>IF(AND(D$3&gt;='Sprint Plan'!$D10,D$3&lt;='Sprint Plan'!$E10),1,"")</f>
        <v/>
      </c>
      <c r="E10" s="21">
        <f>IF(AND(E$3&gt;='Sprint Plan'!$D10,E$3&lt;='Sprint Plan'!$E10),1,"")</f>
        <v/>
      </c>
      <c r="F10" s="21">
        <f>IF(AND(F$3&gt;='Sprint Plan'!$D10,F$3&lt;='Sprint Plan'!$E10),1,"")</f>
        <v/>
      </c>
      <c r="G10" s="21">
        <f>IF(AND(G$3&gt;='Sprint Plan'!$D10,G$3&lt;='Sprint Plan'!$E10),1,"")</f>
        <v/>
      </c>
      <c r="H10" s="21">
        <f>IF(AND(H$3&gt;='Sprint Plan'!$D10,H$3&lt;='Sprint Plan'!$E10),1,"")</f>
        <v/>
      </c>
      <c r="I10" s="21">
        <f>IF(AND(I$3&gt;='Sprint Plan'!$D10,I$3&lt;='Sprint Plan'!$E10),1,"")</f>
        <v/>
      </c>
      <c r="J10" s="21">
        <f>IF(AND(J$3&gt;='Sprint Plan'!$D10,J$3&lt;='Sprint Plan'!$E10),1,"")</f>
        <v/>
      </c>
      <c r="K10" s="21">
        <f>IF(AND(K$3&gt;='Sprint Plan'!$D10,K$3&lt;='Sprint Plan'!$E10),1,"")</f>
        <v/>
      </c>
      <c r="L10" s="21">
        <f>IF(AND(L$3&gt;='Sprint Plan'!$D10,L$3&lt;='Sprint Plan'!$E10),1,"")</f>
        <v/>
      </c>
      <c r="M10" s="21">
        <f>IF(AND(M$3&gt;='Sprint Plan'!$D10,M$3&lt;='Sprint Plan'!$E10),1,"")</f>
        <v/>
      </c>
    </row>
    <row r="11">
      <c r="A11" s="8">
        <f>'Sprint Plan'!A11</f>
        <v/>
      </c>
      <c r="B11" s="8">
        <f>'Sprint Plan'!B11</f>
        <v/>
      </c>
      <c r="C11" s="8">
        <f>'Sprint Plan'!C11</f>
        <v/>
      </c>
      <c r="D11" s="21">
        <f>IF(AND(D$3&gt;='Sprint Plan'!$D11,D$3&lt;='Sprint Plan'!$E11),1,"")</f>
        <v/>
      </c>
      <c r="E11" s="21">
        <f>IF(AND(E$3&gt;='Sprint Plan'!$D11,E$3&lt;='Sprint Plan'!$E11),1,"")</f>
        <v/>
      </c>
      <c r="F11" s="21">
        <f>IF(AND(F$3&gt;='Sprint Plan'!$D11,F$3&lt;='Sprint Plan'!$E11),1,"")</f>
        <v/>
      </c>
      <c r="G11" s="21">
        <f>IF(AND(G$3&gt;='Sprint Plan'!$D11,G$3&lt;='Sprint Plan'!$E11),1,"")</f>
        <v/>
      </c>
      <c r="H11" s="21">
        <f>IF(AND(H$3&gt;='Sprint Plan'!$D11,H$3&lt;='Sprint Plan'!$E11),1,"")</f>
        <v/>
      </c>
      <c r="I11" s="21">
        <f>IF(AND(I$3&gt;='Sprint Plan'!$D11,I$3&lt;='Sprint Plan'!$E11),1,"")</f>
        <v/>
      </c>
      <c r="J11" s="21">
        <f>IF(AND(J$3&gt;='Sprint Plan'!$D11,J$3&lt;='Sprint Plan'!$E11),1,"")</f>
        <v/>
      </c>
      <c r="K11" s="21">
        <f>IF(AND(K$3&gt;='Sprint Plan'!$D11,K$3&lt;='Sprint Plan'!$E11),1,"")</f>
        <v/>
      </c>
      <c r="L11" s="21">
        <f>IF(AND(L$3&gt;='Sprint Plan'!$D11,L$3&lt;='Sprint Plan'!$E11),1,"")</f>
        <v/>
      </c>
      <c r="M11" s="21">
        <f>IF(AND(M$3&gt;='Sprint Plan'!$D11,M$3&lt;='Sprint Plan'!$E11),1,"")</f>
        <v/>
      </c>
    </row>
    <row r="12">
      <c r="A12" s="8">
        <f>'Sprint Plan'!A12</f>
        <v/>
      </c>
      <c r="B12" s="8">
        <f>'Sprint Plan'!B12</f>
        <v/>
      </c>
      <c r="C12" s="8">
        <f>'Sprint Plan'!C12</f>
        <v/>
      </c>
      <c r="D12" s="21">
        <f>IF(AND(D$3&gt;='Sprint Plan'!$D12,D$3&lt;='Sprint Plan'!$E12),1,"")</f>
        <v/>
      </c>
      <c r="E12" s="21">
        <f>IF(AND(E$3&gt;='Sprint Plan'!$D12,E$3&lt;='Sprint Plan'!$E12),1,"")</f>
        <v/>
      </c>
      <c r="F12" s="21">
        <f>IF(AND(F$3&gt;='Sprint Plan'!$D12,F$3&lt;='Sprint Plan'!$E12),1,"")</f>
        <v/>
      </c>
      <c r="G12" s="21">
        <f>IF(AND(G$3&gt;='Sprint Plan'!$D12,G$3&lt;='Sprint Plan'!$E12),1,"")</f>
        <v/>
      </c>
      <c r="H12" s="21">
        <f>IF(AND(H$3&gt;='Sprint Plan'!$D12,H$3&lt;='Sprint Plan'!$E12),1,"")</f>
        <v/>
      </c>
      <c r="I12" s="21">
        <f>IF(AND(I$3&gt;='Sprint Plan'!$D12,I$3&lt;='Sprint Plan'!$E12),1,"")</f>
        <v/>
      </c>
      <c r="J12" s="21">
        <f>IF(AND(J$3&gt;='Sprint Plan'!$D12,J$3&lt;='Sprint Plan'!$E12),1,"")</f>
        <v/>
      </c>
      <c r="K12" s="21">
        <f>IF(AND(K$3&gt;='Sprint Plan'!$D12,K$3&lt;='Sprint Plan'!$E12),1,"")</f>
        <v/>
      </c>
      <c r="L12" s="21">
        <f>IF(AND(L$3&gt;='Sprint Plan'!$D12,L$3&lt;='Sprint Plan'!$E12),1,"")</f>
        <v/>
      </c>
      <c r="M12" s="21">
        <f>IF(AND(M$3&gt;='Sprint Plan'!$D12,M$3&lt;='Sprint Plan'!$E12),1,"")</f>
        <v/>
      </c>
    </row>
    <row r="13">
      <c r="A13" s="8">
        <f>'Sprint Plan'!A13</f>
        <v/>
      </c>
      <c r="B13" s="8">
        <f>'Sprint Plan'!B13</f>
        <v/>
      </c>
      <c r="C13" s="8">
        <f>'Sprint Plan'!C13</f>
        <v/>
      </c>
      <c r="D13" s="21">
        <f>IF(AND(D$3&gt;='Sprint Plan'!$D13,D$3&lt;='Sprint Plan'!$E13),1,"")</f>
        <v/>
      </c>
      <c r="E13" s="21">
        <f>IF(AND(E$3&gt;='Sprint Plan'!$D13,E$3&lt;='Sprint Plan'!$E13),1,"")</f>
        <v/>
      </c>
      <c r="F13" s="21">
        <f>IF(AND(F$3&gt;='Sprint Plan'!$D13,F$3&lt;='Sprint Plan'!$E13),1,"")</f>
        <v/>
      </c>
      <c r="G13" s="21">
        <f>IF(AND(G$3&gt;='Sprint Plan'!$D13,G$3&lt;='Sprint Plan'!$E13),1,"")</f>
        <v/>
      </c>
      <c r="H13" s="21">
        <f>IF(AND(H$3&gt;='Sprint Plan'!$D13,H$3&lt;='Sprint Plan'!$E13),1,"")</f>
        <v/>
      </c>
      <c r="I13" s="21">
        <f>IF(AND(I$3&gt;='Sprint Plan'!$D13,I$3&lt;='Sprint Plan'!$E13),1,"")</f>
        <v/>
      </c>
      <c r="J13" s="21">
        <f>IF(AND(J$3&gt;='Sprint Plan'!$D13,J$3&lt;='Sprint Plan'!$E13),1,"")</f>
        <v/>
      </c>
      <c r="K13" s="21">
        <f>IF(AND(K$3&gt;='Sprint Plan'!$D13,K$3&lt;='Sprint Plan'!$E13),1,"")</f>
        <v/>
      </c>
      <c r="L13" s="21">
        <f>IF(AND(L$3&gt;='Sprint Plan'!$D13,L$3&lt;='Sprint Plan'!$E13),1,"")</f>
        <v/>
      </c>
      <c r="M13" s="21">
        <f>IF(AND(M$3&gt;='Sprint Plan'!$D13,M$3&lt;='Sprint Plan'!$E13),1,"")</f>
        <v/>
      </c>
    </row>
    <row r="14">
      <c r="A14" s="8">
        <f>'Sprint Plan'!A14</f>
        <v/>
      </c>
      <c r="B14" s="8">
        <f>'Sprint Plan'!B14</f>
        <v/>
      </c>
      <c r="C14" s="8">
        <f>'Sprint Plan'!C14</f>
        <v/>
      </c>
      <c r="D14" s="21">
        <f>IF(AND(D$3&gt;='Sprint Plan'!$D14,D$3&lt;='Sprint Plan'!$E14),1,"")</f>
        <v/>
      </c>
      <c r="E14" s="21">
        <f>IF(AND(E$3&gt;='Sprint Plan'!$D14,E$3&lt;='Sprint Plan'!$E14),1,"")</f>
        <v/>
      </c>
      <c r="F14" s="21">
        <f>IF(AND(F$3&gt;='Sprint Plan'!$D14,F$3&lt;='Sprint Plan'!$E14),1,"")</f>
        <v/>
      </c>
      <c r="G14" s="21">
        <f>IF(AND(G$3&gt;='Sprint Plan'!$D14,G$3&lt;='Sprint Plan'!$E14),1,"")</f>
        <v/>
      </c>
      <c r="H14" s="21">
        <f>IF(AND(H$3&gt;='Sprint Plan'!$D14,H$3&lt;='Sprint Plan'!$E14),1,"")</f>
        <v/>
      </c>
      <c r="I14" s="21">
        <f>IF(AND(I$3&gt;='Sprint Plan'!$D14,I$3&lt;='Sprint Plan'!$E14),1,"")</f>
        <v/>
      </c>
      <c r="J14" s="21">
        <f>IF(AND(J$3&gt;='Sprint Plan'!$D14,J$3&lt;='Sprint Plan'!$E14),1,"")</f>
        <v/>
      </c>
      <c r="K14" s="21">
        <f>IF(AND(K$3&gt;='Sprint Plan'!$D14,K$3&lt;='Sprint Plan'!$E14),1,"")</f>
        <v/>
      </c>
      <c r="L14" s="21">
        <f>IF(AND(L$3&gt;='Sprint Plan'!$D14,L$3&lt;='Sprint Plan'!$E14),1,"")</f>
        <v/>
      </c>
      <c r="M14" s="21">
        <f>IF(AND(M$3&gt;='Sprint Plan'!$D14,M$3&lt;='Sprint Plan'!$E14),1,"")</f>
        <v/>
      </c>
    </row>
    <row r="15">
      <c r="A15" s="8">
        <f>'Sprint Plan'!A15</f>
        <v/>
      </c>
      <c r="B15" s="8">
        <f>'Sprint Plan'!B15</f>
        <v/>
      </c>
      <c r="C15" s="8">
        <f>'Sprint Plan'!C15</f>
        <v/>
      </c>
      <c r="D15" s="21">
        <f>IF(AND(D$3&gt;='Sprint Plan'!$D15,D$3&lt;='Sprint Plan'!$E15),1,"")</f>
        <v/>
      </c>
      <c r="E15" s="21">
        <f>IF(AND(E$3&gt;='Sprint Plan'!$D15,E$3&lt;='Sprint Plan'!$E15),1,"")</f>
        <v/>
      </c>
      <c r="F15" s="21">
        <f>IF(AND(F$3&gt;='Sprint Plan'!$D15,F$3&lt;='Sprint Plan'!$E15),1,"")</f>
        <v/>
      </c>
      <c r="G15" s="21">
        <f>IF(AND(G$3&gt;='Sprint Plan'!$D15,G$3&lt;='Sprint Plan'!$E15),1,"")</f>
        <v/>
      </c>
      <c r="H15" s="21">
        <f>IF(AND(H$3&gt;='Sprint Plan'!$D15,H$3&lt;='Sprint Plan'!$E15),1,"")</f>
        <v/>
      </c>
      <c r="I15" s="21">
        <f>IF(AND(I$3&gt;='Sprint Plan'!$D15,I$3&lt;='Sprint Plan'!$E15),1,"")</f>
        <v/>
      </c>
      <c r="J15" s="21">
        <f>IF(AND(J$3&gt;='Sprint Plan'!$D15,J$3&lt;='Sprint Plan'!$E15),1,"")</f>
        <v/>
      </c>
      <c r="K15" s="21">
        <f>IF(AND(K$3&gt;='Sprint Plan'!$D15,K$3&lt;='Sprint Plan'!$E15),1,"")</f>
        <v/>
      </c>
      <c r="L15" s="21">
        <f>IF(AND(L$3&gt;='Sprint Plan'!$D15,L$3&lt;='Sprint Plan'!$E15),1,"")</f>
        <v/>
      </c>
      <c r="M15" s="21">
        <f>IF(AND(M$3&gt;='Sprint Plan'!$D15,M$3&lt;='Sprint Plan'!$E15),1,"")</f>
        <v/>
      </c>
    </row>
    <row r="16">
      <c r="A16" s="8">
        <f>'Sprint Plan'!A16</f>
        <v/>
      </c>
      <c r="B16" s="8">
        <f>'Sprint Plan'!B16</f>
        <v/>
      </c>
      <c r="C16" s="8">
        <f>'Sprint Plan'!C16</f>
        <v/>
      </c>
      <c r="D16" s="21">
        <f>IF(AND(D$3&gt;='Sprint Plan'!$D16,D$3&lt;='Sprint Plan'!$E16),1,"")</f>
        <v/>
      </c>
      <c r="E16" s="21">
        <f>IF(AND(E$3&gt;='Sprint Plan'!$D16,E$3&lt;='Sprint Plan'!$E16),1,"")</f>
        <v/>
      </c>
      <c r="F16" s="21">
        <f>IF(AND(F$3&gt;='Sprint Plan'!$D16,F$3&lt;='Sprint Plan'!$E16),1,"")</f>
        <v/>
      </c>
      <c r="G16" s="21">
        <f>IF(AND(G$3&gt;='Sprint Plan'!$D16,G$3&lt;='Sprint Plan'!$E16),1,"")</f>
        <v/>
      </c>
      <c r="H16" s="21">
        <f>IF(AND(H$3&gt;='Sprint Plan'!$D16,H$3&lt;='Sprint Plan'!$E16),1,"")</f>
        <v/>
      </c>
      <c r="I16" s="21">
        <f>IF(AND(I$3&gt;='Sprint Plan'!$D16,I$3&lt;='Sprint Plan'!$E16),1,"")</f>
        <v/>
      </c>
      <c r="J16" s="21">
        <f>IF(AND(J$3&gt;='Sprint Plan'!$D16,J$3&lt;='Sprint Plan'!$E16),1,"")</f>
        <v/>
      </c>
      <c r="K16" s="21">
        <f>IF(AND(K$3&gt;='Sprint Plan'!$D16,K$3&lt;='Sprint Plan'!$E16),1,"")</f>
        <v/>
      </c>
      <c r="L16" s="21">
        <f>IF(AND(L$3&gt;='Sprint Plan'!$D16,L$3&lt;='Sprint Plan'!$E16),1,"")</f>
        <v/>
      </c>
      <c r="M16" s="21">
        <f>IF(AND(M$3&gt;='Sprint Plan'!$D16,M$3&lt;='Sprint Plan'!$E16),1,"")</f>
        <v/>
      </c>
    </row>
    <row r="17">
      <c r="A17" s="8">
        <f>'Sprint Plan'!A17</f>
        <v/>
      </c>
      <c r="B17" s="8">
        <f>'Sprint Plan'!B17</f>
        <v/>
      </c>
      <c r="C17" s="8">
        <f>'Sprint Plan'!C17</f>
        <v/>
      </c>
      <c r="D17" s="21">
        <f>IF(AND(D$3&gt;='Sprint Plan'!$D17,D$3&lt;='Sprint Plan'!$E17),1,"")</f>
        <v/>
      </c>
      <c r="E17" s="21">
        <f>IF(AND(E$3&gt;='Sprint Plan'!$D17,E$3&lt;='Sprint Plan'!$E17),1,"")</f>
        <v/>
      </c>
      <c r="F17" s="21">
        <f>IF(AND(F$3&gt;='Sprint Plan'!$D17,F$3&lt;='Sprint Plan'!$E17),1,"")</f>
        <v/>
      </c>
      <c r="G17" s="21">
        <f>IF(AND(G$3&gt;='Sprint Plan'!$D17,G$3&lt;='Sprint Plan'!$E17),1,"")</f>
        <v/>
      </c>
      <c r="H17" s="21">
        <f>IF(AND(H$3&gt;='Sprint Plan'!$D17,H$3&lt;='Sprint Plan'!$E17),1,"")</f>
        <v/>
      </c>
      <c r="I17" s="21">
        <f>IF(AND(I$3&gt;='Sprint Plan'!$D17,I$3&lt;='Sprint Plan'!$E17),1,"")</f>
        <v/>
      </c>
      <c r="J17" s="21">
        <f>IF(AND(J$3&gt;='Sprint Plan'!$D17,J$3&lt;='Sprint Plan'!$E17),1,"")</f>
        <v/>
      </c>
      <c r="K17" s="21">
        <f>IF(AND(K$3&gt;='Sprint Plan'!$D17,K$3&lt;='Sprint Plan'!$E17),1,"")</f>
        <v/>
      </c>
      <c r="L17" s="21">
        <f>IF(AND(L$3&gt;='Sprint Plan'!$D17,L$3&lt;='Sprint Plan'!$E17),1,"")</f>
        <v/>
      </c>
      <c r="M17" s="21">
        <f>IF(AND(M$3&gt;='Sprint Plan'!$D17,M$3&lt;='Sprint Plan'!$E17),1,"")</f>
        <v/>
      </c>
    </row>
    <row r="18">
      <c r="A18" s="8">
        <f>'Sprint Plan'!A18</f>
        <v/>
      </c>
      <c r="B18" s="8">
        <f>'Sprint Plan'!B18</f>
        <v/>
      </c>
      <c r="C18" s="8">
        <f>'Sprint Plan'!C18</f>
        <v/>
      </c>
      <c r="D18" s="21">
        <f>IF(AND(D$3&gt;='Sprint Plan'!$D18,D$3&lt;='Sprint Plan'!$E18),1,"")</f>
        <v/>
      </c>
      <c r="E18" s="21">
        <f>IF(AND(E$3&gt;='Sprint Plan'!$D18,E$3&lt;='Sprint Plan'!$E18),1,"")</f>
        <v/>
      </c>
      <c r="F18" s="21">
        <f>IF(AND(F$3&gt;='Sprint Plan'!$D18,F$3&lt;='Sprint Plan'!$E18),1,"")</f>
        <v/>
      </c>
      <c r="G18" s="21">
        <f>IF(AND(G$3&gt;='Sprint Plan'!$D18,G$3&lt;='Sprint Plan'!$E18),1,"")</f>
        <v/>
      </c>
      <c r="H18" s="21">
        <f>IF(AND(H$3&gt;='Sprint Plan'!$D18,H$3&lt;='Sprint Plan'!$E18),1,"")</f>
        <v/>
      </c>
      <c r="I18" s="21">
        <f>IF(AND(I$3&gt;='Sprint Plan'!$D18,I$3&lt;='Sprint Plan'!$E18),1,"")</f>
        <v/>
      </c>
      <c r="J18" s="21">
        <f>IF(AND(J$3&gt;='Sprint Plan'!$D18,J$3&lt;='Sprint Plan'!$E18),1,"")</f>
        <v/>
      </c>
      <c r="K18" s="21">
        <f>IF(AND(K$3&gt;='Sprint Plan'!$D18,K$3&lt;='Sprint Plan'!$E18),1,"")</f>
        <v/>
      </c>
      <c r="L18" s="21">
        <f>IF(AND(L$3&gt;='Sprint Plan'!$D18,L$3&lt;='Sprint Plan'!$E18),1,"")</f>
        <v/>
      </c>
      <c r="M18" s="21">
        <f>IF(AND(M$3&gt;='Sprint Plan'!$D18,M$3&lt;='Sprint Plan'!$E18),1,"")</f>
        <v/>
      </c>
    </row>
    <row r="19">
      <c r="A19" s="8">
        <f>'Sprint Plan'!A19</f>
        <v/>
      </c>
      <c r="B19" s="8">
        <f>'Sprint Plan'!B19</f>
        <v/>
      </c>
      <c r="C19" s="8">
        <f>'Sprint Plan'!C19</f>
        <v/>
      </c>
      <c r="D19" s="21">
        <f>IF(AND(D$3&gt;='Sprint Plan'!$D19,D$3&lt;='Sprint Plan'!$E19),1,"")</f>
        <v/>
      </c>
      <c r="E19" s="21">
        <f>IF(AND(E$3&gt;='Sprint Plan'!$D19,E$3&lt;='Sprint Plan'!$E19),1,"")</f>
        <v/>
      </c>
      <c r="F19" s="21">
        <f>IF(AND(F$3&gt;='Sprint Plan'!$D19,F$3&lt;='Sprint Plan'!$E19),1,"")</f>
        <v/>
      </c>
      <c r="G19" s="21">
        <f>IF(AND(G$3&gt;='Sprint Plan'!$D19,G$3&lt;='Sprint Plan'!$E19),1,"")</f>
        <v/>
      </c>
      <c r="H19" s="21">
        <f>IF(AND(H$3&gt;='Sprint Plan'!$D19,H$3&lt;='Sprint Plan'!$E19),1,"")</f>
        <v/>
      </c>
      <c r="I19" s="21">
        <f>IF(AND(I$3&gt;='Sprint Plan'!$D19,I$3&lt;='Sprint Plan'!$E19),1,"")</f>
        <v/>
      </c>
      <c r="J19" s="21">
        <f>IF(AND(J$3&gt;='Sprint Plan'!$D19,J$3&lt;='Sprint Plan'!$E19),1,"")</f>
        <v/>
      </c>
      <c r="K19" s="21">
        <f>IF(AND(K$3&gt;='Sprint Plan'!$D19,K$3&lt;='Sprint Plan'!$E19),1,"")</f>
        <v/>
      </c>
      <c r="L19" s="21">
        <f>IF(AND(L$3&gt;='Sprint Plan'!$D19,L$3&lt;='Sprint Plan'!$E19),1,"")</f>
        <v/>
      </c>
      <c r="M19" s="21">
        <f>IF(AND(M$3&gt;='Sprint Plan'!$D19,M$3&lt;='Sprint Plan'!$E19),1,"")</f>
        <v/>
      </c>
    </row>
    <row r="20">
      <c r="A20" s="8">
        <f>'Sprint Plan'!A20</f>
        <v/>
      </c>
      <c r="B20" s="8">
        <f>'Sprint Plan'!B20</f>
        <v/>
      </c>
      <c r="C20" s="8">
        <f>'Sprint Plan'!C20</f>
        <v/>
      </c>
      <c r="D20" s="21">
        <f>IF(AND(D$3&gt;='Sprint Plan'!$D20,D$3&lt;='Sprint Plan'!$E20),1,"")</f>
        <v/>
      </c>
      <c r="E20" s="21">
        <f>IF(AND(E$3&gt;='Sprint Plan'!$D20,E$3&lt;='Sprint Plan'!$E20),1,"")</f>
        <v/>
      </c>
      <c r="F20" s="21">
        <f>IF(AND(F$3&gt;='Sprint Plan'!$D20,F$3&lt;='Sprint Plan'!$E20),1,"")</f>
        <v/>
      </c>
      <c r="G20" s="21">
        <f>IF(AND(G$3&gt;='Sprint Plan'!$D20,G$3&lt;='Sprint Plan'!$E20),1,"")</f>
        <v/>
      </c>
      <c r="H20" s="21">
        <f>IF(AND(H$3&gt;='Sprint Plan'!$D20,H$3&lt;='Sprint Plan'!$E20),1,"")</f>
        <v/>
      </c>
      <c r="I20" s="21">
        <f>IF(AND(I$3&gt;='Sprint Plan'!$D20,I$3&lt;='Sprint Plan'!$E20),1,"")</f>
        <v/>
      </c>
      <c r="J20" s="21">
        <f>IF(AND(J$3&gt;='Sprint Plan'!$D20,J$3&lt;='Sprint Plan'!$E20),1,"")</f>
        <v/>
      </c>
      <c r="K20" s="21">
        <f>IF(AND(K$3&gt;='Sprint Plan'!$D20,K$3&lt;='Sprint Plan'!$E20),1,"")</f>
        <v/>
      </c>
      <c r="L20" s="21">
        <f>IF(AND(L$3&gt;='Sprint Plan'!$D20,L$3&lt;='Sprint Plan'!$E20),1,"")</f>
        <v/>
      </c>
      <c r="M20" s="21">
        <f>IF(AND(M$3&gt;='Sprint Plan'!$D20,M$3&lt;='Sprint Plan'!$E20),1,"")</f>
        <v/>
      </c>
    </row>
    <row r="21">
      <c r="A21" s="8">
        <f>'Sprint Plan'!A21</f>
        <v/>
      </c>
      <c r="B21" s="8">
        <f>'Sprint Plan'!B21</f>
        <v/>
      </c>
      <c r="C21" s="8">
        <f>'Sprint Plan'!C21</f>
        <v/>
      </c>
      <c r="D21" s="21">
        <f>IF(AND(D$3&gt;='Sprint Plan'!$D21,D$3&lt;='Sprint Plan'!$E21),1,"")</f>
        <v/>
      </c>
      <c r="E21" s="21">
        <f>IF(AND(E$3&gt;='Sprint Plan'!$D21,E$3&lt;='Sprint Plan'!$E21),1,"")</f>
        <v/>
      </c>
      <c r="F21" s="21">
        <f>IF(AND(F$3&gt;='Sprint Plan'!$D21,F$3&lt;='Sprint Plan'!$E21),1,"")</f>
        <v/>
      </c>
      <c r="G21" s="21">
        <f>IF(AND(G$3&gt;='Sprint Plan'!$D21,G$3&lt;='Sprint Plan'!$E21),1,"")</f>
        <v/>
      </c>
      <c r="H21" s="21">
        <f>IF(AND(H$3&gt;='Sprint Plan'!$D21,H$3&lt;='Sprint Plan'!$E21),1,"")</f>
        <v/>
      </c>
      <c r="I21" s="21">
        <f>IF(AND(I$3&gt;='Sprint Plan'!$D21,I$3&lt;='Sprint Plan'!$E21),1,"")</f>
        <v/>
      </c>
      <c r="J21" s="21">
        <f>IF(AND(J$3&gt;='Sprint Plan'!$D21,J$3&lt;='Sprint Plan'!$E21),1,"")</f>
        <v/>
      </c>
      <c r="K21" s="21">
        <f>IF(AND(K$3&gt;='Sprint Plan'!$D21,K$3&lt;='Sprint Plan'!$E21),1,"")</f>
        <v/>
      </c>
      <c r="L21" s="21">
        <f>IF(AND(L$3&gt;='Sprint Plan'!$D21,L$3&lt;='Sprint Plan'!$E21),1,"")</f>
        <v/>
      </c>
      <c r="M21" s="21">
        <f>IF(AND(M$3&gt;='Sprint Plan'!$D21,M$3&lt;='Sprint Plan'!$E21),1,"")</f>
        <v/>
      </c>
    </row>
    <row r="22">
      <c r="A22" s="8">
        <f>'Sprint Plan'!A22</f>
        <v/>
      </c>
      <c r="B22" s="8">
        <f>'Sprint Plan'!B22</f>
        <v/>
      </c>
      <c r="C22" s="8">
        <f>'Sprint Plan'!C22</f>
        <v/>
      </c>
      <c r="D22" s="21">
        <f>IF(AND(D$3&gt;='Sprint Plan'!$D22,D$3&lt;='Sprint Plan'!$E22),1,"")</f>
        <v/>
      </c>
      <c r="E22" s="21">
        <f>IF(AND(E$3&gt;='Sprint Plan'!$D22,E$3&lt;='Sprint Plan'!$E22),1,"")</f>
        <v/>
      </c>
      <c r="F22" s="21">
        <f>IF(AND(F$3&gt;='Sprint Plan'!$D22,F$3&lt;='Sprint Plan'!$E22),1,"")</f>
        <v/>
      </c>
      <c r="G22" s="21">
        <f>IF(AND(G$3&gt;='Sprint Plan'!$D22,G$3&lt;='Sprint Plan'!$E22),1,"")</f>
        <v/>
      </c>
      <c r="H22" s="21">
        <f>IF(AND(H$3&gt;='Sprint Plan'!$D22,H$3&lt;='Sprint Plan'!$E22),1,"")</f>
        <v/>
      </c>
      <c r="I22" s="21">
        <f>IF(AND(I$3&gt;='Sprint Plan'!$D22,I$3&lt;='Sprint Plan'!$E22),1,"")</f>
        <v/>
      </c>
      <c r="J22" s="21">
        <f>IF(AND(J$3&gt;='Sprint Plan'!$D22,J$3&lt;='Sprint Plan'!$E22),1,"")</f>
        <v/>
      </c>
      <c r="K22" s="21">
        <f>IF(AND(K$3&gt;='Sprint Plan'!$D22,K$3&lt;='Sprint Plan'!$E22),1,"")</f>
        <v/>
      </c>
      <c r="L22" s="21">
        <f>IF(AND(L$3&gt;='Sprint Plan'!$D22,L$3&lt;='Sprint Plan'!$E22),1,"")</f>
        <v/>
      </c>
      <c r="M22" s="21">
        <f>IF(AND(M$3&gt;='Sprint Plan'!$D22,M$3&lt;='Sprint Plan'!$E22),1,"")</f>
        <v/>
      </c>
    </row>
    <row r="23">
      <c r="A23" s="8">
        <f>'Sprint Plan'!A23</f>
        <v/>
      </c>
      <c r="B23" s="8">
        <f>'Sprint Plan'!B23</f>
        <v/>
      </c>
      <c r="C23" s="8">
        <f>'Sprint Plan'!C23</f>
        <v/>
      </c>
      <c r="D23" s="21">
        <f>IF(AND(D$3&gt;='Sprint Plan'!$D23,D$3&lt;='Sprint Plan'!$E23),1,"")</f>
        <v/>
      </c>
      <c r="E23" s="21">
        <f>IF(AND(E$3&gt;='Sprint Plan'!$D23,E$3&lt;='Sprint Plan'!$E23),1,"")</f>
        <v/>
      </c>
      <c r="F23" s="21">
        <f>IF(AND(F$3&gt;='Sprint Plan'!$D23,F$3&lt;='Sprint Plan'!$E23),1,"")</f>
        <v/>
      </c>
      <c r="G23" s="21">
        <f>IF(AND(G$3&gt;='Sprint Plan'!$D23,G$3&lt;='Sprint Plan'!$E23),1,"")</f>
        <v/>
      </c>
      <c r="H23" s="21">
        <f>IF(AND(H$3&gt;='Sprint Plan'!$D23,H$3&lt;='Sprint Plan'!$E23),1,"")</f>
        <v/>
      </c>
      <c r="I23" s="21">
        <f>IF(AND(I$3&gt;='Sprint Plan'!$D23,I$3&lt;='Sprint Plan'!$E23),1,"")</f>
        <v/>
      </c>
      <c r="J23" s="21">
        <f>IF(AND(J$3&gt;='Sprint Plan'!$D23,J$3&lt;='Sprint Plan'!$E23),1,"")</f>
        <v/>
      </c>
      <c r="K23" s="21">
        <f>IF(AND(K$3&gt;='Sprint Plan'!$D23,K$3&lt;='Sprint Plan'!$E23),1,"")</f>
        <v/>
      </c>
      <c r="L23" s="21">
        <f>IF(AND(L$3&gt;='Sprint Plan'!$D23,L$3&lt;='Sprint Plan'!$E23),1,"")</f>
        <v/>
      </c>
      <c r="M23" s="21">
        <f>IF(AND(M$3&gt;='Sprint Plan'!$D23,M$3&lt;='Sprint Plan'!$E23),1,"")</f>
        <v/>
      </c>
    </row>
    <row r="24">
      <c r="A24" s="8">
        <f>'Sprint Plan'!A24</f>
        <v/>
      </c>
      <c r="B24" s="8">
        <f>'Sprint Plan'!B24</f>
        <v/>
      </c>
      <c r="C24" s="8">
        <f>'Sprint Plan'!C24</f>
        <v/>
      </c>
      <c r="D24" s="21">
        <f>IF(AND(D$3&gt;='Sprint Plan'!$D24,D$3&lt;='Sprint Plan'!$E24),1,"")</f>
        <v/>
      </c>
      <c r="E24" s="21">
        <f>IF(AND(E$3&gt;='Sprint Plan'!$D24,E$3&lt;='Sprint Plan'!$E24),1,"")</f>
        <v/>
      </c>
      <c r="F24" s="21">
        <f>IF(AND(F$3&gt;='Sprint Plan'!$D24,F$3&lt;='Sprint Plan'!$E24),1,"")</f>
        <v/>
      </c>
      <c r="G24" s="21">
        <f>IF(AND(G$3&gt;='Sprint Plan'!$D24,G$3&lt;='Sprint Plan'!$E24),1,"")</f>
        <v/>
      </c>
      <c r="H24" s="21">
        <f>IF(AND(H$3&gt;='Sprint Plan'!$D24,H$3&lt;='Sprint Plan'!$E24),1,"")</f>
        <v/>
      </c>
      <c r="I24" s="21">
        <f>IF(AND(I$3&gt;='Sprint Plan'!$D24,I$3&lt;='Sprint Plan'!$E24),1,"")</f>
        <v/>
      </c>
      <c r="J24" s="21">
        <f>IF(AND(J$3&gt;='Sprint Plan'!$D24,J$3&lt;='Sprint Plan'!$E24),1,"")</f>
        <v/>
      </c>
      <c r="K24" s="21">
        <f>IF(AND(K$3&gt;='Sprint Plan'!$D24,K$3&lt;='Sprint Plan'!$E24),1,"")</f>
        <v/>
      </c>
      <c r="L24" s="21">
        <f>IF(AND(L$3&gt;='Sprint Plan'!$D24,L$3&lt;='Sprint Plan'!$E24),1,"")</f>
        <v/>
      </c>
      <c r="M24" s="21">
        <f>IF(AND(M$3&gt;='Sprint Plan'!$D24,M$3&lt;='Sprint Plan'!$E24),1,"")</f>
        <v/>
      </c>
    </row>
    <row r="25">
      <c r="A25" s="8">
        <f>'Sprint Plan'!A25</f>
        <v/>
      </c>
      <c r="B25" s="8">
        <f>'Sprint Plan'!B25</f>
        <v/>
      </c>
      <c r="C25" s="8">
        <f>'Sprint Plan'!C25</f>
        <v/>
      </c>
      <c r="D25" s="21">
        <f>IF(AND(D$3&gt;='Sprint Plan'!$D25,D$3&lt;='Sprint Plan'!$E25),1,"")</f>
        <v/>
      </c>
      <c r="E25" s="21">
        <f>IF(AND(E$3&gt;='Sprint Plan'!$D25,E$3&lt;='Sprint Plan'!$E25),1,"")</f>
        <v/>
      </c>
      <c r="F25" s="21">
        <f>IF(AND(F$3&gt;='Sprint Plan'!$D25,F$3&lt;='Sprint Plan'!$E25),1,"")</f>
        <v/>
      </c>
      <c r="G25" s="21">
        <f>IF(AND(G$3&gt;='Sprint Plan'!$D25,G$3&lt;='Sprint Plan'!$E25),1,"")</f>
        <v/>
      </c>
      <c r="H25" s="21">
        <f>IF(AND(H$3&gt;='Sprint Plan'!$D25,H$3&lt;='Sprint Plan'!$E25),1,"")</f>
        <v/>
      </c>
      <c r="I25" s="21">
        <f>IF(AND(I$3&gt;='Sprint Plan'!$D25,I$3&lt;='Sprint Plan'!$E25),1,"")</f>
        <v/>
      </c>
      <c r="J25" s="21">
        <f>IF(AND(J$3&gt;='Sprint Plan'!$D25,J$3&lt;='Sprint Plan'!$E25),1,"")</f>
        <v/>
      </c>
      <c r="K25" s="21">
        <f>IF(AND(K$3&gt;='Sprint Plan'!$D25,K$3&lt;='Sprint Plan'!$E25),1,"")</f>
        <v/>
      </c>
      <c r="L25" s="21">
        <f>IF(AND(L$3&gt;='Sprint Plan'!$D25,L$3&lt;='Sprint Plan'!$E25),1,"")</f>
        <v/>
      </c>
      <c r="M25" s="21">
        <f>IF(AND(M$3&gt;='Sprint Plan'!$D25,M$3&lt;='Sprint Plan'!$E25),1,"")</f>
        <v/>
      </c>
    </row>
    <row r="26">
      <c r="A26" s="8">
        <f>'Sprint Plan'!A26</f>
        <v/>
      </c>
      <c r="B26" s="8">
        <f>'Sprint Plan'!B26</f>
        <v/>
      </c>
      <c r="C26" s="8">
        <f>'Sprint Plan'!C26</f>
        <v/>
      </c>
      <c r="D26" s="21">
        <f>IF(AND(D$3&gt;='Sprint Plan'!$D26,D$3&lt;='Sprint Plan'!$E26),1,"")</f>
        <v/>
      </c>
      <c r="E26" s="21">
        <f>IF(AND(E$3&gt;='Sprint Plan'!$D26,E$3&lt;='Sprint Plan'!$E26),1,"")</f>
        <v/>
      </c>
      <c r="F26" s="21">
        <f>IF(AND(F$3&gt;='Sprint Plan'!$D26,F$3&lt;='Sprint Plan'!$E26),1,"")</f>
        <v/>
      </c>
      <c r="G26" s="21">
        <f>IF(AND(G$3&gt;='Sprint Plan'!$D26,G$3&lt;='Sprint Plan'!$E26),1,"")</f>
        <v/>
      </c>
      <c r="H26" s="21">
        <f>IF(AND(H$3&gt;='Sprint Plan'!$D26,H$3&lt;='Sprint Plan'!$E26),1,"")</f>
        <v/>
      </c>
      <c r="I26" s="21">
        <f>IF(AND(I$3&gt;='Sprint Plan'!$D26,I$3&lt;='Sprint Plan'!$E26),1,"")</f>
        <v/>
      </c>
      <c r="J26" s="21">
        <f>IF(AND(J$3&gt;='Sprint Plan'!$D26,J$3&lt;='Sprint Plan'!$E26),1,"")</f>
        <v/>
      </c>
      <c r="K26" s="21">
        <f>IF(AND(K$3&gt;='Sprint Plan'!$D26,K$3&lt;='Sprint Plan'!$E26),1,"")</f>
        <v/>
      </c>
      <c r="L26" s="21">
        <f>IF(AND(L$3&gt;='Sprint Plan'!$D26,L$3&lt;='Sprint Plan'!$E26),1,"")</f>
        <v/>
      </c>
      <c r="M26" s="21">
        <f>IF(AND(M$3&gt;='Sprint Plan'!$D26,M$3&lt;='Sprint Plan'!$E26),1,"")</f>
        <v/>
      </c>
    </row>
    <row r="27">
      <c r="A27" s="8">
        <f>'Sprint Plan'!A27</f>
        <v/>
      </c>
      <c r="B27" s="8">
        <f>'Sprint Plan'!B27</f>
        <v/>
      </c>
      <c r="C27" s="8">
        <f>'Sprint Plan'!C27</f>
        <v/>
      </c>
      <c r="D27" s="21">
        <f>IF(AND(D$3&gt;='Sprint Plan'!$D27,D$3&lt;='Sprint Plan'!$E27),1,"")</f>
        <v/>
      </c>
      <c r="E27" s="21">
        <f>IF(AND(E$3&gt;='Sprint Plan'!$D27,E$3&lt;='Sprint Plan'!$E27),1,"")</f>
        <v/>
      </c>
      <c r="F27" s="21">
        <f>IF(AND(F$3&gt;='Sprint Plan'!$D27,F$3&lt;='Sprint Plan'!$E27),1,"")</f>
        <v/>
      </c>
      <c r="G27" s="21">
        <f>IF(AND(G$3&gt;='Sprint Plan'!$D27,G$3&lt;='Sprint Plan'!$E27),1,"")</f>
        <v/>
      </c>
      <c r="H27" s="21">
        <f>IF(AND(H$3&gt;='Sprint Plan'!$D27,H$3&lt;='Sprint Plan'!$E27),1,"")</f>
        <v/>
      </c>
      <c r="I27" s="21">
        <f>IF(AND(I$3&gt;='Sprint Plan'!$D27,I$3&lt;='Sprint Plan'!$E27),1,"")</f>
        <v/>
      </c>
      <c r="J27" s="21">
        <f>IF(AND(J$3&gt;='Sprint Plan'!$D27,J$3&lt;='Sprint Plan'!$E27),1,"")</f>
        <v/>
      </c>
      <c r="K27" s="21">
        <f>IF(AND(K$3&gt;='Sprint Plan'!$D27,K$3&lt;='Sprint Plan'!$E27),1,"")</f>
        <v/>
      </c>
      <c r="L27" s="21">
        <f>IF(AND(L$3&gt;='Sprint Plan'!$D27,L$3&lt;='Sprint Plan'!$E27),1,"")</f>
        <v/>
      </c>
      <c r="M27" s="21">
        <f>IF(AND(M$3&gt;='Sprint Plan'!$D27,M$3&lt;='Sprint Plan'!$E27),1,"")</f>
        <v/>
      </c>
    </row>
    <row r="28">
      <c r="A28" s="8">
        <f>'Sprint Plan'!A28</f>
        <v/>
      </c>
      <c r="B28" s="8">
        <f>'Sprint Plan'!B28</f>
        <v/>
      </c>
      <c r="C28" s="8">
        <f>'Sprint Plan'!C28</f>
        <v/>
      </c>
      <c r="D28" s="21">
        <f>IF(AND(D$3&gt;='Sprint Plan'!$D28,D$3&lt;='Sprint Plan'!$E28),1,"")</f>
        <v/>
      </c>
      <c r="E28" s="21">
        <f>IF(AND(E$3&gt;='Sprint Plan'!$D28,E$3&lt;='Sprint Plan'!$E28),1,"")</f>
        <v/>
      </c>
      <c r="F28" s="21">
        <f>IF(AND(F$3&gt;='Sprint Plan'!$D28,F$3&lt;='Sprint Plan'!$E28),1,"")</f>
        <v/>
      </c>
      <c r="G28" s="21">
        <f>IF(AND(G$3&gt;='Sprint Plan'!$D28,G$3&lt;='Sprint Plan'!$E28),1,"")</f>
        <v/>
      </c>
      <c r="H28" s="21">
        <f>IF(AND(H$3&gt;='Sprint Plan'!$D28,H$3&lt;='Sprint Plan'!$E28),1,"")</f>
        <v/>
      </c>
      <c r="I28" s="21">
        <f>IF(AND(I$3&gt;='Sprint Plan'!$D28,I$3&lt;='Sprint Plan'!$E28),1,"")</f>
        <v/>
      </c>
      <c r="J28" s="21">
        <f>IF(AND(J$3&gt;='Sprint Plan'!$D28,J$3&lt;='Sprint Plan'!$E28),1,"")</f>
        <v/>
      </c>
      <c r="K28" s="21">
        <f>IF(AND(K$3&gt;='Sprint Plan'!$D28,K$3&lt;='Sprint Plan'!$E28),1,"")</f>
        <v/>
      </c>
      <c r="L28" s="21">
        <f>IF(AND(L$3&gt;='Sprint Plan'!$D28,L$3&lt;='Sprint Plan'!$E28),1,"")</f>
        <v/>
      </c>
      <c r="M28" s="21">
        <f>IF(AND(M$3&gt;='Sprint Plan'!$D28,M$3&lt;='Sprint Plan'!$E28),1,"")</f>
        <v/>
      </c>
    </row>
    <row r="29">
      <c r="A29" s="8">
        <f>'Sprint Plan'!A29</f>
        <v/>
      </c>
      <c r="B29" s="8">
        <f>'Sprint Plan'!B29</f>
        <v/>
      </c>
      <c r="C29" s="8">
        <f>'Sprint Plan'!C29</f>
        <v/>
      </c>
      <c r="D29" s="21">
        <f>IF(AND(D$3&gt;='Sprint Plan'!$D29,D$3&lt;='Sprint Plan'!$E29),1,"")</f>
        <v/>
      </c>
      <c r="E29" s="21">
        <f>IF(AND(E$3&gt;='Sprint Plan'!$D29,E$3&lt;='Sprint Plan'!$E29),1,"")</f>
        <v/>
      </c>
      <c r="F29" s="21">
        <f>IF(AND(F$3&gt;='Sprint Plan'!$D29,F$3&lt;='Sprint Plan'!$E29),1,"")</f>
        <v/>
      </c>
      <c r="G29" s="21">
        <f>IF(AND(G$3&gt;='Sprint Plan'!$D29,G$3&lt;='Sprint Plan'!$E29),1,"")</f>
        <v/>
      </c>
      <c r="H29" s="21">
        <f>IF(AND(H$3&gt;='Sprint Plan'!$D29,H$3&lt;='Sprint Plan'!$E29),1,"")</f>
        <v/>
      </c>
      <c r="I29" s="21">
        <f>IF(AND(I$3&gt;='Sprint Plan'!$D29,I$3&lt;='Sprint Plan'!$E29),1,"")</f>
        <v/>
      </c>
      <c r="J29" s="21">
        <f>IF(AND(J$3&gt;='Sprint Plan'!$D29,J$3&lt;='Sprint Plan'!$E29),1,"")</f>
        <v/>
      </c>
      <c r="K29" s="21">
        <f>IF(AND(K$3&gt;='Sprint Plan'!$D29,K$3&lt;='Sprint Plan'!$E29),1,"")</f>
        <v/>
      </c>
      <c r="L29" s="21">
        <f>IF(AND(L$3&gt;='Sprint Plan'!$D29,L$3&lt;='Sprint Plan'!$E29),1,"")</f>
        <v/>
      </c>
      <c r="M29" s="21">
        <f>IF(AND(M$3&gt;='Sprint Plan'!$D29,M$3&lt;='Sprint Plan'!$E29),1,"")</f>
        <v/>
      </c>
    </row>
    <row r="30">
      <c r="A30" s="8">
        <f>'Sprint Plan'!A30</f>
        <v/>
      </c>
      <c r="B30" s="8">
        <f>'Sprint Plan'!B30</f>
        <v/>
      </c>
      <c r="C30" s="8">
        <f>'Sprint Plan'!C30</f>
        <v/>
      </c>
      <c r="D30" s="21">
        <f>IF(AND(D$3&gt;='Sprint Plan'!$D30,D$3&lt;='Sprint Plan'!$E30),1,"")</f>
        <v/>
      </c>
      <c r="E30" s="21">
        <f>IF(AND(E$3&gt;='Sprint Plan'!$D30,E$3&lt;='Sprint Plan'!$E30),1,"")</f>
        <v/>
      </c>
      <c r="F30" s="21">
        <f>IF(AND(F$3&gt;='Sprint Plan'!$D30,F$3&lt;='Sprint Plan'!$E30),1,"")</f>
        <v/>
      </c>
      <c r="G30" s="21">
        <f>IF(AND(G$3&gt;='Sprint Plan'!$D30,G$3&lt;='Sprint Plan'!$E30),1,"")</f>
        <v/>
      </c>
      <c r="H30" s="21">
        <f>IF(AND(H$3&gt;='Sprint Plan'!$D30,H$3&lt;='Sprint Plan'!$E30),1,"")</f>
        <v/>
      </c>
      <c r="I30" s="21">
        <f>IF(AND(I$3&gt;='Sprint Plan'!$D30,I$3&lt;='Sprint Plan'!$E30),1,"")</f>
        <v/>
      </c>
      <c r="J30" s="21">
        <f>IF(AND(J$3&gt;='Sprint Plan'!$D30,J$3&lt;='Sprint Plan'!$E30),1,"")</f>
        <v/>
      </c>
      <c r="K30" s="21">
        <f>IF(AND(K$3&gt;='Sprint Plan'!$D30,K$3&lt;='Sprint Plan'!$E30),1,"")</f>
        <v/>
      </c>
      <c r="L30" s="21">
        <f>IF(AND(L$3&gt;='Sprint Plan'!$D30,L$3&lt;='Sprint Plan'!$E30),1,"")</f>
        <v/>
      </c>
      <c r="M30" s="21">
        <f>IF(AND(M$3&gt;='Sprint Plan'!$D30,M$3&lt;='Sprint Plan'!$E30),1,"")</f>
        <v/>
      </c>
    </row>
    <row r="31">
      <c r="A31" s="8">
        <f>'Sprint Plan'!A31</f>
        <v/>
      </c>
      <c r="B31" s="8">
        <f>'Sprint Plan'!B31</f>
        <v/>
      </c>
      <c r="C31" s="8">
        <f>'Sprint Plan'!C31</f>
        <v/>
      </c>
      <c r="D31" s="21">
        <f>IF(AND(D$3&gt;='Sprint Plan'!$D31,D$3&lt;='Sprint Plan'!$E31),1,"")</f>
        <v/>
      </c>
      <c r="E31" s="21">
        <f>IF(AND(E$3&gt;='Sprint Plan'!$D31,E$3&lt;='Sprint Plan'!$E31),1,"")</f>
        <v/>
      </c>
      <c r="F31" s="21">
        <f>IF(AND(F$3&gt;='Sprint Plan'!$D31,F$3&lt;='Sprint Plan'!$E31),1,"")</f>
        <v/>
      </c>
      <c r="G31" s="21">
        <f>IF(AND(G$3&gt;='Sprint Plan'!$D31,G$3&lt;='Sprint Plan'!$E31),1,"")</f>
        <v/>
      </c>
      <c r="H31" s="21">
        <f>IF(AND(H$3&gt;='Sprint Plan'!$D31,H$3&lt;='Sprint Plan'!$E31),1,"")</f>
        <v/>
      </c>
      <c r="I31" s="21">
        <f>IF(AND(I$3&gt;='Sprint Plan'!$D31,I$3&lt;='Sprint Plan'!$E31),1,"")</f>
        <v/>
      </c>
      <c r="J31" s="21">
        <f>IF(AND(J$3&gt;='Sprint Plan'!$D31,J$3&lt;='Sprint Plan'!$E31),1,"")</f>
        <v/>
      </c>
      <c r="K31" s="21">
        <f>IF(AND(K$3&gt;='Sprint Plan'!$D31,K$3&lt;='Sprint Plan'!$E31),1,"")</f>
        <v/>
      </c>
      <c r="L31" s="21">
        <f>IF(AND(L$3&gt;='Sprint Plan'!$D31,L$3&lt;='Sprint Plan'!$E31),1,"")</f>
        <v/>
      </c>
      <c r="M31" s="21">
        <f>IF(AND(M$3&gt;='Sprint Plan'!$D31,M$3&lt;='Sprint Plan'!$E31),1,"")</f>
        <v/>
      </c>
    </row>
    <row r="32">
      <c r="A32" s="8">
        <f>'Sprint Plan'!A32</f>
        <v/>
      </c>
      <c r="B32" s="8">
        <f>'Sprint Plan'!B32</f>
        <v/>
      </c>
      <c r="C32" s="8">
        <f>'Sprint Plan'!C32</f>
        <v/>
      </c>
      <c r="D32" s="21">
        <f>IF(AND(D$3&gt;='Sprint Plan'!$D32,D$3&lt;='Sprint Plan'!$E32),1,"")</f>
        <v/>
      </c>
      <c r="E32" s="21">
        <f>IF(AND(E$3&gt;='Sprint Plan'!$D32,E$3&lt;='Sprint Plan'!$E32),1,"")</f>
        <v/>
      </c>
      <c r="F32" s="21">
        <f>IF(AND(F$3&gt;='Sprint Plan'!$D32,F$3&lt;='Sprint Plan'!$E32),1,"")</f>
        <v/>
      </c>
      <c r="G32" s="21">
        <f>IF(AND(G$3&gt;='Sprint Plan'!$D32,G$3&lt;='Sprint Plan'!$E32),1,"")</f>
        <v/>
      </c>
      <c r="H32" s="21">
        <f>IF(AND(H$3&gt;='Sprint Plan'!$D32,H$3&lt;='Sprint Plan'!$E32),1,"")</f>
        <v/>
      </c>
      <c r="I32" s="21">
        <f>IF(AND(I$3&gt;='Sprint Plan'!$D32,I$3&lt;='Sprint Plan'!$E32),1,"")</f>
        <v/>
      </c>
      <c r="J32" s="21">
        <f>IF(AND(J$3&gt;='Sprint Plan'!$D32,J$3&lt;='Sprint Plan'!$E32),1,"")</f>
        <v/>
      </c>
      <c r="K32" s="21">
        <f>IF(AND(K$3&gt;='Sprint Plan'!$D32,K$3&lt;='Sprint Plan'!$E32),1,"")</f>
        <v/>
      </c>
      <c r="L32" s="21">
        <f>IF(AND(L$3&gt;='Sprint Plan'!$D32,L$3&lt;='Sprint Plan'!$E32),1,"")</f>
        <v/>
      </c>
      <c r="M32" s="21">
        <f>IF(AND(M$3&gt;='Sprint Plan'!$D32,M$3&lt;='Sprint Plan'!$E32),1,"")</f>
        <v/>
      </c>
    </row>
    <row r="33">
      <c r="A33" s="8">
        <f>'Sprint Plan'!A33</f>
        <v/>
      </c>
      <c r="B33" s="8">
        <f>'Sprint Plan'!B33</f>
        <v/>
      </c>
      <c r="C33" s="8">
        <f>'Sprint Plan'!C33</f>
        <v/>
      </c>
      <c r="D33" s="21">
        <f>IF(AND(D$3&gt;='Sprint Plan'!$D33,D$3&lt;='Sprint Plan'!$E33),1,"")</f>
        <v/>
      </c>
      <c r="E33" s="21">
        <f>IF(AND(E$3&gt;='Sprint Plan'!$D33,E$3&lt;='Sprint Plan'!$E33),1,"")</f>
        <v/>
      </c>
      <c r="F33" s="21">
        <f>IF(AND(F$3&gt;='Sprint Plan'!$D33,F$3&lt;='Sprint Plan'!$E33),1,"")</f>
        <v/>
      </c>
      <c r="G33" s="21">
        <f>IF(AND(G$3&gt;='Sprint Plan'!$D33,G$3&lt;='Sprint Plan'!$E33),1,"")</f>
        <v/>
      </c>
      <c r="H33" s="21">
        <f>IF(AND(H$3&gt;='Sprint Plan'!$D33,H$3&lt;='Sprint Plan'!$E33),1,"")</f>
        <v/>
      </c>
      <c r="I33" s="21">
        <f>IF(AND(I$3&gt;='Sprint Plan'!$D33,I$3&lt;='Sprint Plan'!$E33),1,"")</f>
        <v/>
      </c>
      <c r="J33" s="21">
        <f>IF(AND(J$3&gt;='Sprint Plan'!$D33,J$3&lt;='Sprint Plan'!$E33),1,"")</f>
        <v/>
      </c>
      <c r="K33" s="21">
        <f>IF(AND(K$3&gt;='Sprint Plan'!$D33,K$3&lt;='Sprint Plan'!$E33),1,"")</f>
        <v/>
      </c>
      <c r="L33" s="21">
        <f>IF(AND(L$3&gt;='Sprint Plan'!$D33,L$3&lt;='Sprint Plan'!$E33),1,"")</f>
        <v/>
      </c>
      <c r="M33" s="21">
        <f>IF(AND(M$3&gt;='Sprint Plan'!$D33,M$3&lt;='Sprint Plan'!$E33),1,"")</f>
        <v/>
      </c>
    </row>
    <row r="34">
      <c r="A34" s="8">
        <f>'Sprint Plan'!A34</f>
        <v/>
      </c>
      <c r="B34" s="8">
        <f>'Sprint Plan'!B34</f>
        <v/>
      </c>
      <c r="C34" s="8">
        <f>'Sprint Plan'!C34</f>
        <v/>
      </c>
      <c r="D34" s="21">
        <f>IF(AND(D$3&gt;='Sprint Plan'!$D34,D$3&lt;='Sprint Plan'!$E34),1,"")</f>
        <v/>
      </c>
      <c r="E34" s="21">
        <f>IF(AND(E$3&gt;='Sprint Plan'!$D34,E$3&lt;='Sprint Plan'!$E34),1,"")</f>
        <v/>
      </c>
      <c r="F34" s="21">
        <f>IF(AND(F$3&gt;='Sprint Plan'!$D34,F$3&lt;='Sprint Plan'!$E34),1,"")</f>
        <v/>
      </c>
      <c r="G34" s="21">
        <f>IF(AND(G$3&gt;='Sprint Plan'!$D34,G$3&lt;='Sprint Plan'!$E34),1,"")</f>
        <v/>
      </c>
      <c r="H34" s="21">
        <f>IF(AND(H$3&gt;='Sprint Plan'!$D34,H$3&lt;='Sprint Plan'!$E34),1,"")</f>
        <v/>
      </c>
      <c r="I34" s="21">
        <f>IF(AND(I$3&gt;='Sprint Plan'!$D34,I$3&lt;='Sprint Plan'!$E34),1,"")</f>
        <v/>
      </c>
      <c r="J34" s="21">
        <f>IF(AND(J$3&gt;='Sprint Plan'!$D34,J$3&lt;='Sprint Plan'!$E34),1,"")</f>
        <v/>
      </c>
      <c r="K34" s="21">
        <f>IF(AND(K$3&gt;='Sprint Plan'!$D34,K$3&lt;='Sprint Plan'!$E34),1,"")</f>
        <v/>
      </c>
      <c r="L34" s="21">
        <f>IF(AND(L$3&gt;='Sprint Plan'!$D34,L$3&lt;='Sprint Plan'!$E34),1,"")</f>
        <v/>
      </c>
      <c r="M34" s="21">
        <f>IF(AND(M$3&gt;='Sprint Plan'!$D34,M$3&lt;='Sprint Plan'!$E34),1,"")</f>
        <v/>
      </c>
    </row>
    <row r="35">
      <c r="A35" s="8">
        <f>'Sprint Plan'!A35</f>
        <v/>
      </c>
      <c r="B35" s="8">
        <f>'Sprint Plan'!B35</f>
        <v/>
      </c>
      <c r="C35" s="8">
        <f>'Sprint Plan'!C35</f>
        <v/>
      </c>
      <c r="D35" s="21">
        <f>IF(AND(D$3&gt;='Sprint Plan'!$D35,D$3&lt;='Sprint Plan'!$E35),1,"")</f>
        <v/>
      </c>
      <c r="E35" s="21">
        <f>IF(AND(E$3&gt;='Sprint Plan'!$D35,E$3&lt;='Sprint Plan'!$E35),1,"")</f>
        <v/>
      </c>
      <c r="F35" s="21">
        <f>IF(AND(F$3&gt;='Sprint Plan'!$D35,F$3&lt;='Sprint Plan'!$E35),1,"")</f>
        <v/>
      </c>
      <c r="G35" s="21">
        <f>IF(AND(G$3&gt;='Sprint Plan'!$D35,G$3&lt;='Sprint Plan'!$E35),1,"")</f>
        <v/>
      </c>
      <c r="H35" s="21">
        <f>IF(AND(H$3&gt;='Sprint Plan'!$D35,H$3&lt;='Sprint Plan'!$E35),1,"")</f>
        <v/>
      </c>
      <c r="I35" s="21">
        <f>IF(AND(I$3&gt;='Sprint Plan'!$D35,I$3&lt;='Sprint Plan'!$E35),1,"")</f>
        <v/>
      </c>
      <c r="J35" s="21">
        <f>IF(AND(J$3&gt;='Sprint Plan'!$D35,J$3&lt;='Sprint Plan'!$E35),1,"")</f>
        <v/>
      </c>
      <c r="K35" s="21">
        <f>IF(AND(K$3&gt;='Sprint Plan'!$D35,K$3&lt;='Sprint Plan'!$E35),1,"")</f>
        <v/>
      </c>
      <c r="L35" s="21">
        <f>IF(AND(L$3&gt;='Sprint Plan'!$D35,L$3&lt;='Sprint Plan'!$E35),1,"")</f>
        <v/>
      </c>
      <c r="M35" s="21">
        <f>IF(AND(M$3&gt;='Sprint Plan'!$D35,M$3&lt;='Sprint Plan'!$E35),1,"")</f>
        <v/>
      </c>
    </row>
    <row r="36">
      <c r="A36" s="8">
        <f>'Sprint Plan'!A36</f>
        <v/>
      </c>
      <c r="B36" s="8">
        <f>'Sprint Plan'!B36</f>
        <v/>
      </c>
      <c r="C36" s="8">
        <f>'Sprint Plan'!C36</f>
        <v/>
      </c>
      <c r="D36" s="21">
        <f>IF(AND(D$3&gt;='Sprint Plan'!$D36,D$3&lt;='Sprint Plan'!$E36),1,"")</f>
        <v/>
      </c>
      <c r="E36" s="21">
        <f>IF(AND(E$3&gt;='Sprint Plan'!$D36,E$3&lt;='Sprint Plan'!$E36),1,"")</f>
        <v/>
      </c>
      <c r="F36" s="21">
        <f>IF(AND(F$3&gt;='Sprint Plan'!$D36,F$3&lt;='Sprint Plan'!$E36),1,"")</f>
        <v/>
      </c>
      <c r="G36" s="21">
        <f>IF(AND(G$3&gt;='Sprint Plan'!$D36,G$3&lt;='Sprint Plan'!$E36),1,"")</f>
        <v/>
      </c>
      <c r="H36" s="21">
        <f>IF(AND(H$3&gt;='Sprint Plan'!$D36,H$3&lt;='Sprint Plan'!$E36),1,"")</f>
        <v/>
      </c>
      <c r="I36" s="21">
        <f>IF(AND(I$3&gt;='Sprint Plan'!$D36,I$3&lt;='Sprint Plan'!$E36),1,"")</f>
        <v/>
      </c>
      <c r="J36" s="21">
        <f>IF(AND(J$3&gt;='Sprint Plan'!$D36,J$3&lt;='Sprint Plan'!$E36),1,"")</f>
        <v/>
      </c>
      <c r="K36" s="21">
        <f>IF(AND(K$3&gt;='Sprint Plan'!$D36,K$3&lt;='Sprint Plan'!$E36),1,"")</f>
        <v/>
      </c>
      <c r="L36" s="21">
        <f>IF(AND(L$3&gt;='Sprint Plan'!$D36,L$3&lt;='Sprint Plan'!$E36),1,"")</f>
        <v/>
      </c>
      <c r="M36" s="21">
        <f>IF(AND(M$3&gt;='Sprint Plan'!$D36,M$3&lt;='Sprint Plan'!$E36),1,"")</f>
        <v/>
      </c>
    </row>
    <row r="37">
      <c r="A37" s="8">
        <f>'Sprint Plan'!A37</f>
        <v/>
      </c>
      <c r="B37" s="8">
        <f>'Sprint Plan'!B37</f>
        <v/>
      </c>
      <c r="C37" s="8">
        <f>'Sprint Plan'!C37</f>
        <v/>
      </c>
      <c r="D37" s="21">
        <f>IF(AND(D$3&gt;='Sprint Plan'!$D37,D$3&lt;='Sprint Plan'!$E37),1,"")</f>
        <v/>
      </c>
      <c r="E37" s="21">
        <f>IF(AND(E$3&gt;='Sprint Plan'!$D37,E$3&lt;='Sprint Plan'!$E37),1,"")</f>
        <v/>
      </c>
      <c r="F37" s="21">
        <f>IF(AND(F$3&gt;='Sprint Plan'!$D37,F$3&lt;='Sprint Plan'!$E37),1,"")</f>
        <v/>
      </c>
      <c r="G37" s="21">
        <f>IF(AND(G$3&gt;='Sprint Plan'!$D37,G$3&lt;='Sprint Plan'!$E37),1,"")</f>
        <v/>
      </c>
      <c r="H37" s="21">
        <f>IF(AND(H$3&gt;='Sprint Plan'!$D37,H$3&lt;='Sprint Plan'!$E37),1,"")</f>
        <v/>
      </c>
      <c r="I37" s="21">
        <f>IF(AND(I$3&gt;='Sprint Plan'!$D37,I$3&lt;='Sprint Plan'!$E37),1,"")</f>
        <v/>
      </c>
      <c r="J37" s="21">
        <f>IF(AND(J$3&gt;='Sprint Plan'!$D37,J$3&lt;='Sprint Plan'!$E37),1,"")</f>
        <v/>
      </c>
      <c r="K37" s="21">
        <f>IF(AND(K$3&gt;='Sprint Plan'!$D37,K$3&lt;='Sprint Plan'!$E37),1,"")</f>
        <v/>
      </c>
      <c r="L37" s="21">
        <f>IF(AND(L$3&gt;='Sprint Plan'!$D37,L$3&lt;='Sprint Plan'!$E37),1,"")</f>
        <v/>
      </c>
      <c r="M37" s="21">
        <f>IF(AND(M$3&gt;='Sprint Plan'!$D37,M$3&lt;='Sprint Plan'!$E37),1,"")</f>
        <v/>
      </c>
    </row>
    <row r="38">
      <c r="A38" s="8">
        <f>'Sprint Plan'!A38</f>
        <v/>
      </c>
      <c r="B38" s="8">
        <f>'Sprint Plan'!B38</f>
        <v/>
      </c>
      <c r="C38" s="8">
        <f>'Sprint Plan'!C38</f>
        <v/>
      </c>
      <c r="D38" s="21">
        <f>IF(AND(D$3&gt;='Sprint Plan'!$D38,D$3&lt;='Sprint Plan'!$E38),1,"")</f>
        <v/>
      </c>
      <c r="E38" s="21">
        <f>IF(AND(E$3&gt;='Sprint Plan'!$D38,E$3&lt;='Sprint Plan'!$E38),1,"")</f>
        <v/>
      </c>
      <c r="F38" s="21">
        <f>IF(AND(F$3&gt;='Sprint Plan'!$D38,F$3&lt;='Sprint Plan'!$E38),1,"")</f>
        <v/>
      </c>
      <c r="G38" s="21">
        <f>IF(AND(G$3&gt;='Sprint Plan'!$D38,G$3&lt;='Sprint Plan'!$E38),1,"")</f>
        <v/>
      </c>
      <c r="H38" s="21">
        <f>IF(AND(H$3&gt;='Sprint Plan'!$D38,H$3&lt;='Sprint Plan'!$E38),1,"")</f>
        <v/>
      </c>
      <c r="I38" s="21">
        <f>IF(AND(I$3&gt;='Sprint Plan'!$D38,I$3&lt;='Sprint Plan'!$E38),1,"")</f>
        <v/>
      </c>
      <c r="J38" s="21">
        <f>IF(AND(J$3&gt;='Sprint Plan'!$D38,J$3&lt;='Sprint Plan'!$E38),1,"")</f>
        <v/>
      </c>
      <c r="K38" s="21">
        <f>IF(AND(K$3&gt;='Sprint Plan'!$D38,K$3&lt;='Sprint Plan'!$E38),1,"")</f>
        <v/>
      </c>
      <c r="L38" s="21">
        <f>IF(AND(L$3&gt;='Sprint Plan'!$D38,L$3&lt;='Sprint Plan'!$E38),1,"")</f>
        <v/>
      </c>
      <c r="M38" s="21">
        <f>IF(AND(M$3&gt;='Sprint Plan'!$D38,M$3&lt;='Sprint Plan'!$E38),1,"")</f>
        <v/>
      </c>
    </row>
    <row r="39">
      <c r="A39" s="8">
        <f>'Sprint Plan'!A39</f>
        <v/>
      </c>
      <c r="B39" s="8">
        <f>'Sprint Plan'!B39</f>
        <v/>
      </c>
      <c r="C39" s="8">
        <f>'Sprint Plan'!C39</f>
        <v/>
      </c>
      <c r="D39" s="21">
        <f>IF(AND(D$3&gt;='Sprint Plan'!$D39,D$3&lt;='Sprint Plan'!$E39),1,"")</f>
        <v/>
      </c>
      <c r="E39" s="21">
        <f>IF(AND(E$3&gt;='Sprint Plan'!$D39,E$3&lt;='Sprint Plan'!$E39),1,"")</f>
        <v/>
      </c>
      <c r="F39" s="21">
        <f>IF(AND(F$3&gt;='Sprint Plan'!$D39,F$3&lt;='Sprint Plan'!$E39),1,"")</f>
        <v/>
      </c>
      <c r="G39" s="21">
        <f>IF(AND(G$3&gt;='Sprint Plan'!$D39,G$3&lt;='Sprint Plan'!$E39),1,"")</f>
        <v/>
      </c>
      <c r="H39" s="21">
        <f>IF(AND(H$3&gt;='Sprint Plan'!$D39,H$3&lt;='Sprint Plan'!$E39),1,"")</f>
        <v/>
      </c>
      <c r="I39" s="21">
        <f>IF(AND(I$3&gt;='Sprint Plan'!$D39,I$3&lt;='Sprint Plan'!$E39),1,"")</f>
        <v/>
      </c>
      <c r="J39" s="21">
        <f>IF(AND(J$3&gt;='Sprint Plan'!$D39,J$3&lt;='Sprint Plan'!$E39),1,"")</f>
        <v/>
      </c>
      <c r="K39" s="21">
        <f>IF(AND(K$3&gt;='Sprint Plan'!$D39,K$3&lt;='Sprint Plan'!$E39),1,"")</f>
        <v/>
      </c>
      <c r="L39" s="21">
        <f>IF(AND(L$3&gt;='Sprint Plan'!$D39,L$3&lt;='Sprint Plan'!$E39),1,"")</f>
        <v/>
      </c>
      <c r="M39" s="21">
        <f>IF(AND(M$3&gt;='Sprint Plan'!$D39,M$3&lt;='Sprint Plan'!$E39),1,"")</f>
        <v/>
      </c>
    </row>
    <row r="40">
      <c r="A40" s="8">
        <f>'Sprint Plan'!A40</f>
        <v/>
      </c>
      <c r="B40" s="8">
        <f>'Sprint Plan'!B40</f>
        <v/>
      </c>
      <c r="C40" s="8">
        <f>'Sprint Plan'!C40</f>
        <v/>
      </c>
      <c r="D40" s="21">
        <f>IF(AND(D$3&gt;='Sprint Plan'!$D40,D$3&lt;='Sprint Plan'!$E40),1,"")</f>
        <v/>
      </c>
      <c r="E40" s="21">
        <f>IF(AND(E$3&gt;='Sprint Plan'!$D40,E$3&lt;='Sprint Plan'!$E40),1,"")</f>
        <v/>
      </c>
      <c r="F40" s="21">
        <f>IF(AND(F$3&gt;='Sprint Plan'!$D40,F$3&lt;='Sprint Plan'!$E40),1,"")</f>
        <v/>
      </c>
      <c r="G40" s="21">
        <f>IF(AND(G$3&gt;='Sprint Plan'!$D40,G$3&lt;='Sprint Plan'!$E40),1,"")</f>
        <v/>
      </c>
      <c r="H40" s="21">
        <f>IF(AND(H$3&gt;='Sprint Plan'!$D40,H$3&lt;='Sprint Plan'!$E40),1,"")</f>
        <v/>
      </c>
      <c r="I40" s="21">
        <f>IF(AND(I$3&gt;='Sprint Plan'!$D40,I$3&lt;='Sprint Plan'!$E40),1,"")</f>
        <v/>
      </c>
      <c r="J40" s="21">
        <f>IF(AND(J$3&gt;='Sprint Plan'!$D40,J$3&lt;='Sprint Plan'!$E40),1,"")</f>
        <v/>
      </c>
      <c r="K40" s="21">
        <f>IF(AND(K$3&gt;='Sprint Plan'!$D40,K$3&lt;='Sprint Plan'!$E40),1,"")</f>
        <v/>
      </c>
      <c r="L40" s="21">
        <f>IF(AND(L$3&gt;='Sprint Plan'!$D40,L$3&lt;='Sprint Plan'!$E40),1,"")</f>
        <v/>
      </c>
      <c r="M40" s="21">
        <f>IF(AND(M$3&gt;='Sprint Plan'!$D40,M$3&lt;='Sprint Plan'!$E40),1,"")</f>
        <v/>
      </c>
    </row>
    <row r="41">
      <c r="A41" s="8">
        <f>'Sprint Plan'!A41</f>
        <v/>
      </c>
      <c r="B41" s="8">
        <f>'Sprint Plan'!B41</f>
        <v/>
      </c>
      <c r="C41" s="8">
        <f>'Sprint Plan'!C41</f>
        <v/>
      </c>
      <c r="D41" s="21">
        <f>IF(AND(D$3&gt;='Sprint Plan'!$D41,D$3&lt;='Sprint Plan'!$E41),1,"")</f>
        <v/>
      </c>
      <c r="E41" s="21">
        <f>IF(AND(E$3&gt;='Sprint Plan'!$D41,E$3&lt;='Sprint Plan'!$E41),1,"")</f>
        <v/>
      </c>
      <c r="F41" s="21">
        <f>IF(AND(F$3&gt;='Sprint Plan'!$D41,F$3&lt;='Sprint Plan'!$E41),1,"")</f>
        <v/>
      </c>
      <c r="G41" s="21">
        <f>IF(AND(G$3&gt;='Sprint Plan'!$D41,G$3&lt;='Sprint Plan'!$E41),1,"")</f>
        <v/>
      </c>
      <c r="H41" s="21">
        <f>IF(AND(H$3&gt;='Sprint Plan'!$D41,H$3&lt;='Sprint Plan'!$E41),1,"")</f>
        <v/>
      </c>
      <c r="I41" s="21">
        <f>IF(AND(I$3&gt;='Sprint Plan'!$D41,I$3&lt;='Sprint Plan'!$E41),1,"")</f>
        <v/>
      </c>
      <c r="J41" s="21">
        <f>IF(AND(J$3&gt;='Sprint Plan'!$D41,J$3&lt;='Sprint Plan'!$E41),1,"")</f>
        <v/>
      </c>
      <c r="K41" s="21">
        <f>IF(AND(K$3&gt;='Sprint Plan'!$D41,K$3&lt;='Sprint Plan'!$E41),1,"")</f>
        <v/>
      </c>
      <c r="L41" s="21">
        <f>IF(AND(L$3&gt;='Sprint Plan'!$D41,L$3&lt;='Sprint Plan'!$E41),1,"")</f>
        <v/>
      </c>
      <c r="M41" s="21">
        <f>IF(AND(M$3&gt;='Sprint Plan'!$D41,M$3&lt;='Sprint Plan'!$E41),1,"")</f>
        <v/>
      </c>
    </row>
    <row r="42">
      <c r="A42" s="8">
        <f>'Sprint Plan'!A42</f>
        <v/>
      </c>
      <c r="B42" s="8">
        <f>'Sprint Plan'!B42</f>
        <v/>
      </c>
      <c r="C42" s="8">
        <f>'Sprint Plan'!C42</f>
        <v/>
      </c>
      <c r="D42" s="21">
        <f>IF(AND(D$3&gt;='Sprint Plan'!$D42,D$3&lt;='Sprint Plan'!$E42),1,"")</f>
        <v/>
      </c>
      <c r="E42" s="21">
        <f>IF(AND(E$3&gt;='Sprint Plan'!$D42,E$3&lt;='Sprint Plan'!$E42),1,"")</f>
        <v/>
      </c>
      <c r="F42" s="21">
        <f>IF(AND(F$3&gt;='Sprint Plan'!$D42,F$3&lt;='Sprint Plan'!$E42),1,"")</f>
        <v/>
      </c>
      <c r="G42" s="21">
        <f>IF(AND(G$3&gt;='Sprint Plan'!$D42,G$3&lt;='Sprint Plan'!$E42),1,"")</f>
        <v/>
      </c>
      <c r="H42" s="21">
        <f>IF(AND(H$3&gt;='Sprint Plan'!$D42,H$3&lt;='Sprint Plan'!$E42),1,"")</f>
        <v/>
      </c>
      <c r="I42" s="21">
        <f>IF(AND(I$3&gt;='Sprint Plan'!$D42,I$3&lt;='Sprint Plan'!$E42),1,"")</f>
        <v/>
      </c>
      <c r="J42" s="21">
        <f>IF(AND(J$3&gt;='Sprint Plan'!$D42,J$3&lt;='Sprint Plan'!$E42),1,"")</f>
        <v/>
      </c>
      <c r="K42" s="21">
        <f>IF(AND(K$3&gt;='Sprint Plan'!$D42,K$3&lt;='Sprint Plan'!$E42),1,"")</f>
        <v/>
      </c>
      <c r="L42" s="21">
        <f>IF(AND(L$3&gt;='Sprint Plan'!$D42,L$3&lt;='Sprint Plan'!$E42),1,"")</f>
        <v/>
      </c>
      <c r="M42" s="21">
        <f>IF(AND(M$3&gt;='Sprint Plan'!$D42,M$3&lt;='Sprint Plan'!$E42),1,"")</f>
        <v/>
      </c>
    </row>
    <row r="43">
      <c r="A43" s="8">
        <f>'Sprint Plan'!A43</f>
        <v/>
      </c>
      <c r="B43" s="8">
        <f>'Sprint Plan'!B43</f>
        <v/>
      </c>
      <c r="C43" s="8">
        <f>'Sprint Plan'!C43</f>
        <v/>
      </c>
      <c r="D43" s="21">
        <f>IF(AND(D$3&gt;='Sprint Plan'!$D43,D$3&lt;='Sprint Plan'!$E43),1,"")</f>
        <v/>
      </c>
      <c r="E43" s="21">
        <f>IF(AND(E$3&gt;='Sprint Plan'!$D43,E$3&lt;='Sprint Plan'!$E43),1,"")</f>
        <v/>
      </c>
      <c r="F43" s="21">
        <f>IF(AND(F$3&gt;='Sprint Plan'!$D43,F$3&lt;='Sprint Plan'!$E43),1,"")</f>
        <v/>
      </c>
      <c r="G43" s="21">
        <f>IF(AND(G$3&gt;='Sprint Plan'!$D43,G$3&lt;='Sprint Plan'!$E43),1,"")</f>
        <v/>
      </c>
      <c r="H43" s="21">
        <f>IF(AND(H$3&gt;='Sprint Plan'!$D43,H$3&lt;='Sprint Plan'!$E43),1,"")</f>
        <v/>
      </c>
      <c r="I43" s="21">
        <f>IF(AND(I$3&gt;='Sprint Plan'!$D43,I$3&lt;='Sprint Plan'!$E43),1,"")</f>
        <v/>
      </c>
      <c r="J43" s="21">
        <f>IF(AND(J$3&gt;='Sprint Plan'!$D43,J$3&lt;='Sprint Plan'!$E43),1,"")</f>
        <v/>
      </c>
      <c r="K43" s="21">
        <f>IF(AND(K$3&gt;='Sprint Plan'!$D43,K$3&lt;='Sprint Plan'!$E43),1,"")</f>
        <v/>
      </c>
      <c r="L43" s="21">
        <f>IF(AND(L$3&gt;='Sprint Plan'!$D43,L$3&lt;='Sprint Plan'!$E43),1,"")</f>
        <v/>
      </c>
      <c r="M43" s="21">
        <f>IF(AND(M$3&gt;='Sprint Plan'!$D43,M$3&lt;='Sprint Plan'!$E43),1,"")</f>
        <v/>
      </c>
    </row>
    <row r="44">
      <c r="A44" s="8">
        <f>'Sprint Plan'!A44</f>
        <v/>
      </c>
      <c r="B44" s="8">
        <f>'Sprint Plan'!B44</f>
        <v/>
      </c>
      <c r="C44" s="8">
        <f>'Sprint Plan'!C44</f>
        <v/>
      </c>
      <c r="D44" s="21">
        <f>IF(AND(D$3&gt;='Sprint Plan'!$D44,D$3&lt;='Sprint Plan'!$E44),1,"")</f>
        <v/>
      </c>
      <c r="E44" s="21">
        <f>IF(AND(E$3&gt;='Sprint Plan'!$D44,E$3&lt;='Sprint Plan'!$E44),1,"")</f>
        <v/>
      </c>
      <c r="F44" s="21">
        <f>IF(AND(F$3&gt;='Sprint Plan'!$D44,F$3&lt;='Sprint Plan'!$E44),1,"")</f>
        <v/>
      </c>
      <c r="G44" s="21">
        <f>IF(AND(G$3&gt;='Sprint Plan'!$D44,G$3&lt;='Sprint Plan'!$E44),1,"")</f>
        <v/>
      </c>
      <c r="H44" s="21">
        <f>IF(AND(H$3&gt;='Sprint Plan'!$D44,H$3&lt;='Sprint Plan'!$E44),1,"")</f>
        <v/>
      </c>
      <c r="I44" s="21">
        <f>IF(AND(I$3&gt;='Sprint Plan'!$D44,I$3&lt;='Sprint Plan'!$E44),1,"")</f>
        <v/>
      </c>
      <c r="J44" s="21">
        <f>IF(AND(J$3&gt;='Sprint Plan'!$D44,J$3&lt;='Sprint Plan'!$E44),1,"")</f>
        <v/>
      </c>
      <c r="K44" s="21">
        <f>IF(AND(K$3&gt;='Sprint Plan'!$D44,K$3&lt;='Sprint Plan'!$E44),1,"")</f>
        <v/>
      </c>
      <c r="L44" s="21">
        <f>IF(AND(L$3&gt;='Sprint Plan'!$D44,L$3&lt;='Sprint Plan'!$E44),1,"")</f>
        <v/>
      </c>
      <c r="M44" s="21">
        <f>IF(AND(M$3&gt;='Sprint Plan'!$D44,M$3&lt;='Sprint Plan'!$E44),1,"")</f>
        <v/>
      </c>
    </row>
    <row r="45"/>
    <row r="46"/>
    <row r="47"/>
    <row r="48"/>
    <row r="49"/>
    <row r="50"/>
    <row r="51"/>
    <row r="52"/>
    <row r="53"/>
    <row r="54"/>
    <row r="55"/>
    <row r="56"/>
    <row r="57"/>
    <row r="58"/>
    <row r="59"/>
    <row r="60"/>
  </sheetData>
  <conditionalFormatting sqref="D4:M44">
    <cfRule type="expression" priority="1" dxfId="0" stopIfTrue="1">
      <formula>AND(D4=1,LEFT($A4,1)="M")</formula>
    </cfRule>
    <cfRule type="expression" priority="2" dxfId="1">
      <formula>D4=1</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2026-10-04T17:41:55Z</dcterms:created>
  <dcterms:modified xsi:type="dcterms:W3CDTF">2026-10-08T10:35:21Z</dcterms:modified>
</cp:coreProperties>
</file>